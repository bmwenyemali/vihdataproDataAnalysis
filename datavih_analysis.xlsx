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te_Indicateurs" sheetId="1" state="visible" r:id="rId1"/>
    <sheet name="Dashboard_Interactif" sheetId="2" state="visible" r:id="rId2"/>
    <sheet name="Cascade_95-95-95" sheetId="3" state="visible" r:id="rId3"/>
    <sheet name="Ind_1" sheetId="4" state="visible" r:id="rId4"/>
    <sheet name="Ind_2" sheetId="5" state="visible" r:id="rId5"/>
    <sheet name="Ind_3" sheetId="6" state="visible" r:id="rId6"/>
    <sheet name="Ind_4" sheetId="7" state="visible" r:id="rId7"/>
    <sheet name="Ind_5" sheetId="8" state="visible" r:id="rId8"/>
    <sheet name="Ind_6" sheetId="9" state="visible" r:id="rId9"/>
    <sheet name="Formules_Referenc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2E75B6"/>
      <sz val="14"/>
    </font>
    <font>
      <b val="1"/>
      <color rgb="00FFFFFF"/>
    </font>
    <font>
      <b val="1"/>
      <color rgb="002E75B6"/>
      <sz val="16"/>
    </font>
    <font>
      <i val="1"/>
      <sz val="10"/>
    </font>
    <font>
      <b val="1"/>
      <sz val="12"/>
    </font>
    <font>
      <b val="1"/>
      <color rgb="002E75B6"/>
      <sz val="12"/>
    </font>
    <font>
      <b val="1"/>
    </font>
    <font>
      <b val="1"/>
      <color rgb="002E75B6"/>
      <sz val="11"/>
    </font>
    <font>
      <b val="1"/>
      <sz val="11"/>
    </font>
    <font>
      <b val="1"/>
      <color rgb="00C00000"/>
      <sz val="12"/>
    </font>
    <font>
      <i val="1"/>
    </font>
  </fonts>
  <fills count="4">
    <fill>
      <patternFill/>
    </fill>
    <fill>
      <patternFill patternType="gray125"/>
    </fill>
    <fill>
      <patternFill patternType="solid">
        <fgColor rgb="002E75B6"/>
        <bgColor rgb="002E75B6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9" fillId="0" borderId="0" pivotButton="0" quotePrefix="0" xfId="0"/>
    <xf numFmtId="0" fontId="7" fillId="3" borderId="0" pivotButton="0" quotePrefix="0" xfId="0"/>
    <xf numFmtId="0" fontId="10" fillId="0" borderId="0" pivotButton="0" quotePrefix="0" xfId="0"/>
    <xf numFmtId="0" fontId="5" fillId="0" borderId="0" pivotButton="0" quotePrefix="0" xfId="0"/>
    <xf numFmtId="0" fontId="2" fillId="2" borderId="1" pivotButton="0" quotePrefix="0" xfId="0"/>
    <xf numFmtId="0" fontId="2" fillId="2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3" fontId="3" fillId="0" borderId="0" pivotButton="0" quotePrefix="0" xfId="0"/>
    <xf numFmtId="0" fontId="8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Cascade ONUSIDA par Année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'Cascade_95-95-95'!B5</f>
            </strRef>
          </tx>
          <spPr>
            <a:ln>
              <a:prstDash val="solid"/>
            </a:ln>
          </spPr>
          <cat>
            <numRef>
              <f>'Cascade_95-95-95'!$A$6:$A$10</f>
            </numRef>
          </cat>
          <val>
            <numRef>
              <f>'Cascade_95-95-95'!$B$6:$B$10</f>
            </numRef>
          </val>
        </ser>
        <ser>
          <idx val="1"/>
          <order val="1"/>
          <tx>
            <strRef>
              <f>'Cascade_95-95-95'!C5</f>
            </strRef>
          </tx>
          <spPr>
            <a:ln>
              <a:prstDash val="solid"/>
            </a:ln>
          </spPr>
          <cat>
            <numRef>
              <f>'Cascade_95-95-95'!$A$6:$A$10</f>
            </numRef>
          </cat>
          <val>
            <numRef>
              <f>'Cascade_95-95-95'!$C$6:$C$10</f>
            </numRef>
          </val>
        </ser>
        <ser>
          <idx val="2"/>
          <order val="2"/>
          <tx>
            <strRef>
              <f>'Cascade_95-95-95'!D5</f>
            </strRef>
          </tx>
          <spPr>
            <a:ln>
              <a:prstDash val="solid"/>
            </a:ln>
          </spPr>
          <cat>
            <numRef>
              <f>'Cascade_95-95-95'!$A$6:$A$10</f>
            </numRef>
          </cat>
          <val>
            <numRef>
              <f>'Cascade_95-95-95'!$D$6:$D$10</f>
            </numRef>
          </val>
        </ser>
        <ser>
          <idx val="3"/>
          <order val="3"/>
          <tx>
            <strRef>
              <f>'Cascade_95-95-95'!E5</f>
            </strRef>
          </tx>
          <spPr>
            <a:ln>
              <a:prstDash val="solid"/>
            </a:ln>
          </spPr>
          <cat>
            <numRef>
              <f>'Cascade_95-95-95'!$A$6:$A$10</f>
            </numRef>
          </cat>
          <val>
            <numRef>
              <f>'Cascade_95-95-95'!$E$6:$E$10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Nombre de Personnes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Évolution Annuelle</a:t>
            </a:r>
          </a:p>
        </rich>
      </tx>
    </title>
    <plotArea>
      <lineChart>
        <grouping val="standard"/>
        <ser>
          <idx val="0"/>
          <order val="0"/>
          <tx>
            <strRef>
              <f>'Ind_1'!B6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'Ind_1'!$A$7:$A$11</f>
            </numRef>
          </cat>
          <val>
            <numRef>
              <f>'Ind_1'!$B$7:$B$11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Provinces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'Ind_1'!C15</f>
            </strRef>
          </tx>
          <spPr>
            <a:ln>
              <a:prstDash val="solid"/>
            </a:ln>
          </spPr>
          <cat>
            <numRef>
              <f>'Ind_1'!$B$16:$B$25</f>
            </numRef>
          </cat>
          <val>
            <numRef>
              <f>'Ind_1'!$C$16:$C$25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Répartition par Sexe</a:t>
            </a:r>
          </a:p>
        </rich>
      </tx>
    </title>
    <plotArea>
      <pieChart>
        <varyColors val="1"/>
        <ser>
          <idx val="0"/>
          <order val="0"/>
          <tx>
            <strRef>
              <f>'Ind_1'!B53</f>
            </strRef>
          </tx>
          <spPr>
            <a:ln>
              <a:prstDash val="solid"/>
            </a:ln>
          </spPr>
          <cat>
            <numRef>
              <f>'Ind_1'!$A$54:$A$55</f>
            </numRef>
          </cat>
          <val>
            <numRef>
              <f>'Ind_1'!$B$54:$B$55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Distribution par Âge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'Ind_1'!B59</f>
            </strRef>
          </tx>
          <spPr>
            <a:ln>
              <a:prstDash val="solid"/>
            </a:ln>
          </spPr>
          <cat>
            <numRef>
              <f>'Ind_1'!$A$60:$A$67</f>
            </numRef>
          </cat>
          <val>
            <numRef>
              <f>'Ind_1'!$B$60:$B$67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Évolution Annuelle</a:t>
            </a:r>
          </a:p>
        </rich>
      </tx>
    </title>
    <plotArea>
      <lineChart>
        <grouping val="standard"/>
        <ser>
          <idx val="0"/>
          <order val="0"/>
          <tx>
            <strRef>
              <f>'Ind_2'!B6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'Ind_2'!$A$7:$A$11</f>
            </numRef>
          </cat>
          <val>
            <numRef>
              <f>'Ind_2'!$B$7:$B$11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Provinces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'Ind_2'!C15</f>
            </strRef>
          </tx>
          <spPr>
            <a:ln>
              <a:prstDash val="solid"/>
            </a:ln>
          </spPr>
          <cat>
            <numRef>
              <f>'Ind_2'!$B$16:$B$25</f>
            </numRef>
          </cat>
          <val>
            <numRef>
              <f>'Ind_2'!$C$16:$C$25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Répartition par Sexe</a:t>
            </a:r>
          </a:p>
        </rich>
      </tx>
    </title>
    <plotArea>
      <pieChart>
        <varyColors val="1"/>
        <ser>
          <idx val="0"/>
          <order val="0"/>
          <tx>
            <strRef>
              <f>'Ind_2'!B53</f>
            </strRef>
          </tx>
          <spPr>
            <a:ln>
              <a:prstDash val="solid"/>
            </a:ln>
          </spPr>
          <cat>
            <numRef>
              <f>'Ind_2'!$A$54:$A$55</f>
            </numRef>
          </cat>
          <val>
            <numRef>
              <f>'Ind_2'!$B$54:$B$55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Distribution par Âge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'Ind_2'!B59</f>
            </strRef>
          </tx>
          <spPr>
            <a:ln>
              <a:prstDash val="solid"/>
            </a:ln>
          </spPr>
          <cat>
            <numRef>
              <f>'Ind_2'!$A$60:$A$67</f>
            </numRef>
          </cat>
          <val>
            <numRef>
              <f>'Ind_2'!$B$60:$B$67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Évolution Annuelle</a:t>
            </a:r>
          </a:p>
        </rich>
      </tx>
    </title>
    <plotArea>
      <lineChart>
        <grouping val="standard"/>
        <ser>
          <idx val="0"/>
          <order val="0"/>
          <tx>
            <strRef>
              <f>'Ind_3'!B6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'Ind_3'!$A$7:$A$11</f>
            </numRef>
          </cat>
          <val>
            <numRef>
              <f>'Ind_3'!$B$7:$B$11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Provinces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'Ind_3'!C15</f>
            </strRef>
          </tx>
          <spPr>
            <a:ln>
              <a:prstDash val="solid"/>
            </a:ln>
          </spPr>
          <cat>
            <numRef>
              <f>'Ind_3'!$B$16:$B$25</f>
            </numRef>
          </cat>
          <val>
            <numRef>
              <f>'Ind_3'!$C$16:$C$25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Répartition par Sexe</a:t>
            </a:r>
          </a:p>
        </rich>
      </tx>
    </title>
    <plotArea>
      <pieChart>
        <varyColors val="1"/>
        <ser>
          <idx val="0"/>
          <order val="0"/>
          <tx>
            <strRef>
              <f>'Ind_3'!B53</f>
            </strRef>
          </tx>
          <spPr>
            <a:ln>
              <a:prstDash val="solid"/>
            </a:ln>
          </spPr>
          <cat>
            <numRef>
              <f>'Ind_3'!$A$54:$A$55</f>
            </numRef>
          </cat>
          <val>
            <numRef>
              <f>'Ind_3'!$B$54:$B$55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Distribution par Âge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'Ind_3'!B59</f>
            </strRef>
          </tx>
          <spPr>
            <a:ln>
              <a:prstDash val="solid"/>
            </a:ln>
          </spPr>
          <cat>
            <numRef>
              <f>'Ind_3'!$A$60:$A$67</f>
            </numRef>
          </cat>
          <val>
            <numRef>
              <f>'Ind_3'!$B$60:$B$67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Évolution Annuelle</a:t>
            </a:r>
          </a:p>
        </rich>
      </tx>
    </title>
    <plotArea>
      <lineChart>
        <grouping val="standard"/>
        <ser>
          <idx val="0"/>
          <order val="0"/>
          <tx>
            <strRef>
              <f>'Ind_4'!B6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'Ind_4'!$A$7:$A$11</f>
            </numRef>
          </cat>
          <val>
            <numRef>
              <f>'Ind_4'!$B$7:$B$11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Provinces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'Ind_4'!C15</f>
            </strRef>
          </tx>
          <spPr>
            <a:ln>
              <a:prstDash val="solid"/>
            </a:ln>
          </spPr>
          <cat>
            <numRef>
              <f>'Ind_4'!$B$16:$B$25</f>
            </numRef>
          </cat>
          <val>
            <numRef>
              <f>'Ind_4'!$C$16:$C$25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Répartition par Sexe</a:t>
            </a:r>
          </a:p>
        </rich>
      </tx>
    </title>
    <plotArea>
      <pieChart>
        <varyColors val="1"/>
        <ser>
          <idx val="0"/>
          <order val="0"/>
          <tx>
            <strRef>
              <f>'Ind_4'!B51</f>
            </strRef>
          </tx>
          <spPr>
            <a:ln>
              <a:prstDash val="solid"/>
            </a:ln>
          </spPr>
          <cat>
            <numRef>
              <f>'Ind_4'!$A$52:$A$53</f>
            </numRef>
          </cat>
          <val>
            <numRef>
              <f>'Ind_4'!$B$52:$B$53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Distribution par Âge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'Ind_4'!B57</f>
            </strRef>
          </tx>
          <spPr>
            <a:ln>
              <a:prstDash val="solid"/>
            </a:ln>
          </spPr>
          <cat>
            <numRef>
              <f>'Ind_4'!$A$58:$A$63</f>
            </numRef>
          </cat>
          <val>
            <numRef>
              <f>'Ind_4'!$B$58:$B$63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Évolution Annuelle</a:t>
            </a:r>
          </a:p>
        </rich>
      </tx>
    </title>
    <plotArea>
      <lineChart>
        <grouping val="standard"/>
        <ser>
          <idx val="0"/>
          <order val="0"/>
          <tx>
            <strRef>
              <f>'Ind_5'!B6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'Ind_5'!$A$7:$A$11</f>
            </numRef>
          </cat>
          <val>
            <numRef>
              <f>'Ind_5'!$B$7:$B$11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Provinces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'Ind_5'!C15</f>
            </strRef>
          </tx>
          <spPr>
            <a:ln>
              <a:prstDash val="solid"/>
            </a:ln>
          </spPr>
          <cat>
            <numRef>
              <f>'Ind_5'!$B$16:$B$25</f>
            </numRef>
          </cat>
          <val>
            <numRef>
              <f>'Ind_5'!$C$16:$C$25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Répartition par Sexe</a:t>
            </a:r>
          </a:p>
        </rich>
      </tx>
    </title>
    <plotArea>
      <pieChart>
        <varyColors val="1"/>
        <ser>
          <idx val="0"/>
          <order val="0"/>
          <tx>
            <strRef>
              <f>'Ind_5'!B53</f>
            </strRef>
          </tx>
          <spPr>
            <a:ln>
              <a:prstDash val="solid"/>
            </a:ln>
          </spPr>
          <cat>
            <numRef>
              <f>'Ind_5'!$A$54:$A$55</f>
            </numRef>
          </cat>
          <val>
            <numRef>
              <f>'Ind_5'!$B$54:$B$55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Distribution par Âge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'Ind_5'!B59</f>
            </strRef>
          </tx>
          <spPr>
            <a:ln>
              <a:prstDash val="solid"/>
            </a:ln>
          </spPr>
          <cat>
            <numRef>
              <f>'Ind_5'!$A$60:$A$67</f>
            </numRef>
          </cat>
          <val>
            <numRef>
              <f>'Ind_5'!$B$60:$B$67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Évolution Annuelle</a:t>
            </a:r>
          </a:p>
        </rich>
      </tx>
    </title>
    <plotArea>
      <lineChart>
        <grouping val="standard"/>
        <ser>
          <idx val="0"/>
          <order val="0"/>
          <tx>
            <strRef>
              <f>'Ind_6'!B6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'Ind_6'!$A$7:$A$11</f>
            </numRef>
          </cat>
          <val>
            <numRef>
              <f>'Ind_6'!$B$7:$B$11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Provinces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'Ind_6'!C15</f>
            </strRef>
          </tx>
          <spPr>
            <a:ln>
              <a:prstDash val="solid"/>
            </a:ln>
          </spPr>
          <cat>
            <numRef>
              <f>'Ind_6'!$B$16:$B$25</f>
            </numRef>
          </cat>
          <val>
            <numRef>
              <f>'Ind_6'!$C$16:$C$25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Répartition par Sexe</a:t>
            </a:r>
          </a:p>
        </rich>
      </tx>
    </title>
    <plotArea>
      <pieChart>
        <varyColors val="1"/>
        <ser>
          <idx val="0"/>
          <order val="0"/>
          <tx>
            <strRef>
              <f>'Ind_6'!B53</f>
            </strRef>
          </tx>
          <spPr>
            <a:ln>
              <a:prstDash val="solid"/>
            </a:ln>
          </spPr>
          <cat>
            <numRef>
              <f>'Ind_6'!$A$54:$A$55</f>
            </numRef>
          </cat>
          <val>
            <numRef>
              <f>'Ind_6'!$B$54:$B$55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Distribution par Âge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'Ind_6'!B59</f>
            </strRef>
          </tx>
          <spPr>
            <a:ln>
              <a:prstDash val="solid"/>
            </a:ln>
          </spPr>
          <cat>
            <numRef>
              <f>'Ind_6'!$A$60:$A$67</f>
            </numRef>
          </cat>
          <val>
            <numRef>
              <f>'Ind_6'!$B$60:$B$67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Relationship Type="http://schemas.openxmlformats.org/officeDocument/2006/relationships/chart" Target="/xl/charts/chart8.xml" Id="rId3" /><Relationship Type="http://schemas.openxmlformats.org/officeDocument/2006/relationships/chart" Target="/xl/charts/chart9.xml" Id="rId4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Relationship Type="http://schemas.openxmlformats.org/officeDocument/2006/relationships/chart" Target="/xl/charts/chart13.xml" Id="rId4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4.xml" Id="rId1" /><Relationship Type="http://schemas.openxmlformats.org/officeDocument/2006/relationships/chart" Target="/xl/charts/chart15.xml" Id="rId2" /><Relationship Type="http://schemas.openxmlformats.org/officeDocument/2006/relationships/chart" Target="/xl/charts/chart16.xml" Id="rId3" /><Relationship Type="http://schemas.openxmlformats.org/officeDocument/2006/relationships/chart" Target="/xl/charts/chart17.xml" Id="rId4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2.xml" Id="rId1" /><Relationship Type="http://schemas.openxmlformats.org/officeDocument/2006/relationships/chart" Target="/xl/charts/chart23.xml" Id="rId2" /><Relationship Type="http://schemas.openxmlformats.org/officeDocument/2006/relationships/chart" Target="/xl/charts/chart24.xml" Id="rId3" /><Relationship Type="http://schemas.openxmlformats.org/officeDocument/2006/relationships/chart" Target="/xl/charts/chart25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13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4</col>
      <colOff>0</colOff>
      <row>51</row>
      <rowOff>0</rowOff>
    </from>
    <ext cx="36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57</row>
      <rowOff>0</rowOff>
    </from>
    <ext cx="432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13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4</col>
      <colOff>0</colOff>
      <row>51</row>
      <rowOff>0</rowOff>
    </from>
    <ext cx="36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57</row>
      <rowOff>0</rowOff>
    </from>
    <ext cx="432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13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4</col>
      <colOff>0</colOff>
      <row>51</row>
      <rowOff>0</rowOff>
    </from>
    <ext cx="36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57</row>
      <rowOff>0</rowOff>
    </from>
    <ext cx="432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13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4</col>
      <colOff>0</colOff>
      <row>49</row>
      <rowOff>0</rowOff>
    </from>
    <ext cx="36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55</row>
      <rowOff>0</rowOff>
    </from>
    <ext cx="432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13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4</col>
      <colOff>0</colOff>
      <row>51</row>
      <rowOff>0</rowOff>
    </from>
    <ext cx="36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57</row>
      <rowOff>0</rowOff>
    </from>
    <ext cx="432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13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4</col>
      <colOff>0</colOff>
      <row>51</row>
      <rowOff>0</rowOff>
    </from>
    <ext cx="36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57</row>
      <rowOff>0</rowOff>
    </from>
    <ext cx="432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1"/>
  <sheetViews>
    <sheetView workbookViewId="0">
      <selection activeCell="A1" sqref="A1"/>
    </sheetView>
  </sheetViews>
  <sheetFormatPr baseColWidth="8" defaultRowHeight="15"/>
  <cols>
    <col width="5" customWidth="1" min="1" max="1"/>
    <col width="70" customWidth="1" min="2" max="2"/>
    <col width="20" customWidth="1" min="3" max="3"/>
  </cols>
  <sheetData>
    <row r="1">
      <c r="A1" s="1" t="inlineStr">
        <is>
          <t>LISTE DES INDICATEURS VIH/SIDA</t>
        </is>
      </c>
    </row>
    <row r="3">
      <c r="A3" s="2" t="inlineStr">
        <is>
          <t>N°</t>
        </is>
      </c>
      <c r="B3" s="2" t="inlineStr">
        <is>
          <t>Indicateur</t>
        </is>
      </c>
      <c r="C3" s="2" t="inlineStr">
        <is>
          <t>Catégorie</t>
        </is>
      </c>
    </row>
    <row r="4">
      <c r="A4" s="3" t="n">
        <v>1</v>
      </c>
      <c r="B4" s="3" t="inlineStr">
        <is>
          <t>Montant (en FC) de financement interne alloué au VIH</t>
        </is>
      </c>
      <c r="C4" s="3" t="inlineStr">
        <is>
          <t>Autre</t>
        </is>
      </c>
    </row>
    <row r="5">
      <c r="A5" s="3" t="n">
        <v>2</v>
      </c>
      <c r="B5" s="3" t="inlineStr">
        <is>
          <t xml:space="preserve">Montant absorbé (en FC) de financement interne alloué au VIH </t>
        </is>
      </c>
      <c r="C5" s="3" t="inlineStr">
        <is>
          <t>Autre</t>
        </is>
      </c>
    </row>
    <row r="6">
      <c r="A6" s="3" t="n">
        <v>3</v>
      </c>
      <c r="B6" s="3" t="inlineStr">
        <is>
          <t>Montant de financement en intrants VIH par le gouvernement</t>
        </is>
      </c>
      <c r="C6" s="3" t="inlineStr">
        <is>
          <t>Autre</t>
        </is>
      </c>
    </row>
    <row r="7">
      <c r="A7" s="3" t="n">
        <v>4</v>
      </c>
      <c r="B7" s="3" t="inlineStr">
        <is>
          <t>Nombre  de PVVIH sous TAR qui ont supprimée la charge virale</t>
        </is>
      </c>
      <c r="C7" s="3" t="inlineStr">
        <is>
          <t>Traitement</t>
        </is>
      </c>
    </row>
    <row r="8">
      <c r="A8" s="3" t="n">
        <v>5</v>
      </c>
      <c r="B8" s="3" t="inlineStr">
        <is>
          <t>Nombre  de patients TB dépistés au VIH</t>
        </is>
      </c>
      <c r="C8" s="3" t="inlineStr">
        <is>
          <t>Autre</t>
        </is>
      </c>
    </row>
    <row r="9">
      <c r="A9" s="3" t="n">
        <v>6</v>
      </c>
      <c r="B9" s="3" t="inlineStr">
        <is>
          <t>Nombre d'enfants exposés au VIH ayant bénéficié de la prophylaxie aux ARV</t>
        </is>
      </c>
      <c r="C9" s="3" t="inlineStr">
        <is>
          <t>Autre</t>
        </is>
      </c>
    </row>
    <row r="10">
      <c r="A10" s="3" t="n">
        <v>7</v>
      </c>
      <c r="B10" s="3" t="inlineStr">
        <is>
          <t>Nombre d'enfants exposés au VIH ayant bénéficié du ADN PCR ou de la sérologie</t>
        </is>
      </c>
      <c r="C10" s="3" t="inlineStr">
        <is>
          <t>Autre</t>
        </is>
      </c>
    </row>
    <row r="11">
      <c r="A11" s="3" t="n">
        <v>8</v>
      </c>
      <c r="B11" s="3" t="inlineStr">
        <is>
          <t>Nombre d'enfants exposés au VIH diagnostiqué VIH+</t>
        </is>
      </c>
      <c r="C11" s="3" t="inlineStr">
        <is>
          <t>Diagnostic</t>
        </is>
      </c>
    </row>
    <row r="12">
      <c r="A12" s="3" t="n">
        <v>9</v>
      </c>
      <c r="B12" s="3" t="inlineStr">
        <is>
          <t>Nombre d'engagements pris et  respectés</t>
        </is>
      </c>
      <c r="C12" s="3" t="inlineStr">
        <is>
          <t>Autre</t>
        </is>
      </c>
    </row>
    <row r="13">
      <c r="A13" s="3" t="n">
        <v>10</v>
      </c>
      <c r="B13" s="3" t="inlineStr">
        <is>
          <t xml:space="preserve">Nombre d'engagements pris par les organes de pilotage et de décision </t>
        </is>
      </c>
      <c r="C13" s="3" t="inlineStr">
        <is>
          <t>Autre</t>
        </is>
      </c>
    </row>
    <row r="14">
      <c r="A14" s="3" t="n">
        <v>11</v>
      </c>
      <c r="B14" s="3" t="inlineStr">
        <is>
          <t xml:space="preserve">Nombre d'engagements respectés par les organes de pilotage et de décision </t>
        </is>
      </c>
      <c r="C14" s="3" t="inlineStr">
        <is>
          <t>Autre</t>
        </is>
      </c>
    </row>
    <row r="15">
      <c r="A15" s="3" t="n">
        <v>12</v>
      </c>
      <c r="B15" s="3" t="inlineStr">
        <is>
          <t>Nombre d'émissions; spot; chansons éducatives sur VIH produits et diffusés)</t>
        </is>
      </c>
      <c r="C15" s="3" t="inlineStr">
        <is>
          <t>Autre</t>
        </is>
      </c>
    </row>
    <row r="16">
      <c r="A16" s="3" t="n">
        <v>13</v>
      </c>
      <c r="B16" s="3" t="inlineStr">
        <is>
          <t>Nombre d'établissement  secondaire  ayant intégré le programme VIH dans le curriculum d'enseignement</t>
        </is>
      </c>
      <c r="C16" s="3" t="inlineStr">
        <is>
          <t>Autre</t>
        </is>
      </c>
    </row>
    <row r="17">
      <c r="A17" s="3" t="n">
        <v>14</v>
      </c>
      <c r="B17" s="3" t="inlineStr">
        <is>
          <t>Nombre d'établissement primaires ayant intégré le programme VIH dans le curriculum d'enseignement</t>
        </is>
      </c>
      <c r="C17" s="3" t="inlineStr">
        <is>
          <t>Autre</t>
        </is>
      </c>
    </row>
    <row r="18">
      <c r="A18" s="3" t="n">
        <v>15</v>
      </c>
      <c r="B18" s="3" t="inlineStr">
        <is>
          <t>Nombre d'établissement universitaires ayant intégré le programme VIH dans le curriculum d'enseignement</t>
        </is>
      </c>
      <c r="C18" s="3" t="inlineStr">
        <is>
          <t>Autre</t>
        </is>
      </c>
    </row>
    <row r="19">
      <c r="A19" s="3" t="n">
        <v>16</v>
      </c>
      <c r="B19" s="3" t="inlineStr">
        <is>
          <t>Nombre de  PVVIH nouvellement diagnostiqué qui ont fait l’objet de la recherche active de la TB  selon les normes</t>
        </is>
      </c>
      <c r="C19" s="3" t="inlineStr">
        <is>
          <t>Diagnostic</t>
        </is>
      </c>
    </row>
    <row r="20">
      <c r="A20" s="3" t="n">
        <v>17</v>
      </c>
      <c r="B20" s="3" t="inlineStr">
        <is>
          <t>Nombre de  Prestataires ayant bénéficié de renforcement de capacité pour la gestion rationnelle de médicaments</t>
        </is>
      </c>
      <c r="C20" s="3" t="inlineStr">
        <is>
          <t>Autre</t>
        </is>
      </c>
    </row>
    <row r="21">
      <c r="A21" s="3" t="n">
        <v>18</v>
      </c>
      <c r="B21" s="3" t="inlineStr">
        <is>
          <t>Nombre de FOSA ayant intégré le paquet VIH</t>
        </is>
      </c>
      <c r="C21" s="3" t="inlineStr">
        <is>
          <t>Autre</t>
        </is>
      </c>
    </row>
    <row r="22">
      <c r="A22" s="3" t="n">
        <v>19</v>
      </c>
      <c r="B22" s="3" t="inlineStr">
        <is>
          <t xml:space="preserve">Nombre de FOSA ayant intégré les services de PF </t>
        </is>
      </c>
      <c r="C22" s="3" t="inlineStr">
        <is>
          <t>Autre</t>
        </is>
      </c>
    </row>
    <row r="23">
      <c r="A23" s="3" t="n">
        <v>20</v>
      </c>
      <c r="B23" s="3" t="inlineStr">
        <is>
          <t>Nombre de FOSA qui notifient les cas d’effets indésirables liés aux ARV par province</t>
        </is>
      </c>
      <c r="C23" s="3" t="inlineStr">
        <is>
          <t>Autre</t>
        </is>
      </c>
    </row>
    <row r="24">
      <c r="A24" s="3" t="n">
        <v>21</v>
      </c>
      <c r="B24" s="3" t="inlineStr">
        <is>
          <t>Nombre de FOSA qui ont connue une rupture des ARV et autres produits contre le VIH/sida</t>
        </is>
      </c>
      <c r="C24" s="3" t="inlineStr">
        <is>
          <t>Autre</t>
        </is>
      </c>
    </row>
    <row r="25">
      <c r="A25" s="3" t="n">
        <v>22</v>
      </c>
      <c r="B25" s="3" t="inlineStr">
        <is>
          <t>Nombre de PVVIH au stade de sida avancé qui reçoivent de soins et traitements spéciaux</t>
        </is>
      </c>
      <c r="C25" s="3" t="inlineStr">
        <is>
          <t>Traitement</t>
        </is>
      </c>
    </row>
    <row r="26">
      <c r="A26" s="3" t="n">
        <v>23</v>
      </c>
      <c r="B26" s="3" t="inlineStr">
        <is>
          <t>Nombre de PVVIH coinfectées à la TB qui reçoivent un appui nutritionnel</t>
        </is>
      </c>
      <c r="C26" s="3" t="inlineStr">
        <is>
          <t>Autre</t>
        </is>
      </c>
    </row>
    <row r="27">
      <c r="A27" s="3" t="n">
        <v>24</v>
      </c>
      <c r="B27" s="3" t="inlineStr">
        <is>
          <t xml:space="preserve">Nombre de PVVIH coinfectées à la TB qui reçoivent un traitement TB selon le protocole national </t>
        </is>
      </c>
      <c r="C27" s="3" t="inlineStr">
        <is>
          <t>Traitement</t>
        </is>
      </c>
    </row>
    <row r="28">
      <c r="A28" s="3" t="n">
        <v>25</v>
      </c>
      <c r="B28" s="3" t="inlineStr">
        <is>
          <t xml:space="preserve">Nombre de PVVIH dans le besoin qui ont accès aux services de PEC Nutritionnelle </t>
        </is>
      </c>
      <c r="C28" s="3" t="inlineStr">
        <is>
          <t>Autre</t>
        </is>
      </c>
    </row>
    <row r="29">
      <c r="A29" s="3" t="n">
        <v>26</v>
      </c>
      <c r="B29" s="3" t="inlineStr">
        <is>
          <t>Nombre de PVVIH décédées enregistrées au cours du Trimestre</t>
        </is>
      </c>
      <c r="C29" s="3" t="inlineStr">
        <is>
          <t>Autre</t>
        </is>
      </c>
    </row>
    <row r="30">
      <c r="A30" s="3" t="n">
        <v>27</v>
      </c>
      <c r="B30" s="3" t="inlineStr">
        <is>
          <t>Nombre de PVVIH nouvellement diagnostiqué éligibles à la prophylaxie de la TB qui reçoivent le TPT</t>
        </is>
      </c>
      <c r="C30" s="3" t="inlineStr">
        <is>
          <t>Diagnostic</t>
        </is>
      </c>
    </row>
    <row r="31">
      <c r="A31" s="3" t="n">
        <v>28</v>
      </c>
      <c r="B31" s="3" t="inlineStr">
        <is>
          <t>Nombre de PVVIH nouvellement dépistées et enrôlées dans les services de PEC du VIH</t>
        </is>
      </c>
      <c r="C31" s="3" t="inlineStr">
        <is>
          <t>Autre</t>
        </is>
      </c>
    </row>
    <row r="32">
      <c r="A32" s="3" t="n">
        <v>29</v>
      </c>
      <c r="B32" s="3" t="inlineStr">
        <is>
          <t>Nombre de PVVIH perdus de vue enregistrés au cours du Trimestre</t>
        </is>
      </c>
      <c r="C32" s="3" t="inlineStr">
        <is>
          <t>Autre</t>
        </is>
      </c>
    </row>
    <row r="33">
      <c r="A33" s="3" t="n">
        <v>30</v>
      </c>
      <c r="B33" s="3" t="inlineStr">
        <is>
          <t>Nombre de PVVIH qui reçoivent le Cotrimoxazole</t>
        </is>
      </c>
      <c r="C33" s="3" t="inlineStr">
        <is>
          <t>Autre</t>
        </is>
      </c>
    </row>
    <row r="34">
      <c r="A34" s="3" t="n">
        <v>31</v>
      </c>
      <c r="B34" s="3" t="inlineStr">
        <is>
          <t>Nombre de PVVIH qui sont dépistés pour autres IO et comorbidités</t>
        </is>
      </c>
      <c r="C34" s="3" t="inlineStr">
        <is>
          <t>Autre</t>
        </is>
      </c>
    </row>
    <row r="35">
      <c r="A35" s="3" t="n">
        <v>32</v>
      </c>
      <c r="B35" s="3" t="inlineStr">
        <is>
          <t>Nombre de PVVIH qui sont dépistés pour les hépatites B et C</t>
        </is>
      </c>
      <c r="C35" s="3" t="inlineStr">
        <is>
          <t>Autre</t>
        </is>
      </c>
    </row>
    <row r="36">
      <c r="A36" s="3" t="n">
        <v>33</v>
      </c>
      <c r="B36" s="3" t="inlineStr">
        <is>
          <t>Nombre de PVVIH sous ARV  ayant bénéficié d’une charge virale</t>
        </is>
      </c>
      <c r="C36" s="3" t="inlineStr">
        <is>
          <t>Suppression Virale</t>
        </is>
      </c>
    </row>
    <row r="37">
      <c r="A37" s="3" t="n">
        <v>34</v>
      </c>
      <c r="B37" s="3" t="inlineStr">
        <is>
          <t>Nombre de PVVIH sous TAR</t>
        </is>
      </c>
      <c r="C37" s="3" t="inlineStr">
        <is>
          <t>Traitement</t>
        </is>
      </c>
    </row>
    <row r="38">
      <c r="A38" s="3" t="n">
        <v>35</v>
      </c>
      <c r="B38" s="3" t="inlineStr">
        <is>
          <t xml:space="preserve">Nombre de PVVIH victimes de stigmatisation et discrimination qui ont accès aux services juridiques et à l’assistance judiciaire </t>
        </is>
      </c>
      <c r="C38" s="3" t="inlineStr">
        <is>
          <t>Autre</t>
        </is>
      </c>
    </row>
    <row r="39">
      <c r="A39" s="3" t="n">
        <v>36</v>
      </c>
      <c r="B39" s="3" t="inlineStr">
        <is>
          <t>Nombre de Programmes VIH soutenus et performants à tous les niveaux</t>
        </is>
      </c>
      <c r="C39" s="3" t="inlineStr">
        <is>
          <t>Autre</t>
        </is>
      </c>
    </row>
    <row r="40">
      <c r="A40" s="3" t="n">
        <v>37</v>
      </c>
      <c r="B40" s="3" t="inlineStr">
        <is>
          <t>Nombre de Réunion du GT Médicament tenue</t>
        </is>
      </c>
      <c r="C40" s="3" t="inlineStr">
        <is>
          <t>Autre</t>
        </is>
      </c>
    </row>
    <row r="41">
      <c r="A41" s="3" t="n">
        <v>38</v>
      </c>
      <c r="B41" s="3" t="inlineStr">
        <is>
          <t>Nombre de banques de sang fonctionnelles</t>
        </is>
      </c>
      <c r="C41" s="3" t="inlineStr">
        <is>
          <t>Autre</t>
        </is>
      </c>
    </row>
    <row r="42">
      <c r="A42" s="3" t="n">
        <v>39</v>
      </c>
      <c r="B42" s="3" t="inlineStr">
        <is>
          <t>Nombre de cadres de concertation fonctionnels à  tous les niveaux du système communautaire</t>
        </is>
      </c>
      <c r="C42" s="3" t="inlineStr">
        <is>
          <t>Autre</t>
        </is>
      </c>
    </row>
    <row r="43">
      <c r="A43" s="3" t="n">
        <v>40</v>
      </c>
      <c r="B43" s="3" t="inlineStr">
        <is>
          <t>Nombre de cas IST  dépistés VIH +</t>
        </is>
      </c>
      <c r="C43" s="3" t="inlineStr">
        <is>
          <t>Autre</t>
        </is>
      </c>
    </row>
    <row r="44">
      <c r="A44" s="3" t="n">
        <v>41</v>
      </c>
      <c r="B44" s="3" t="inlineStr">
        <is>
          <t>Nombre de cas IST conseillés et testés au VIH</t>
        </is>
      </c>
      <c r="C44" s="3" t="inlineStr">
        <is>
          <t>Dépistage</t>
        </is>
      </c>
    </row>
    <row r="45">
      <c r="A45" s="3" t="n">
        <v>42</v>
      </c>
      <c r="B45" s="3" t="inlineStr">
        <is>
          <t>Nombre de cas de PVVIH sous Traitement AntiRetroviral (TAR) qui ont fait l'objet d'un dépistage du cancer du col</t>
        </is>
      </c>
      <c r="C45" s="3" t="inlineStr">
        <is>
          <t>Traitement</t>
        </is>
      </c>
    </row>
    <row r="46">
      <c r="A46" s="3" t="n">
        <v>43</v>
      </c>
      <c r="B46" s="3" t="inlineStr">
        <is>
          <t>Nombre de cas de PVVIH sous Traitement Antirétroviral (TAR) qui ont fait l'objet d'un dépistage du virus de l'Hépatite B</t>
        </is>
      </c>
      <c r="C46" s="3" t="inlineStr">
        <is>
          <t>Traitement</t>
        </is>
      </c>
    </row>
    <row r="47">
      <c r="A47" s="3" t="n">
        <v>44</v>
      </c>
      <c r="B47" s="3" t="inlineStr">
        <is>
          <t>Nombre de cas de PVVIH sous Traitement Antirétroviral (TAR) qui ont fait l'objet d'un dépistage du virus de l'Hépatite C</t>
        </is>
      </c>
      <c r="C47" s="3" t="inlineStr">
        <is>
          <t>Traitement</t>
        </is>
      </c>
    </row>
    <row r="48">
      <c r="A48" s="3" t="n">
        <v>45</v>
      </c>
      <c r="B48" s="3" t="inlineStr">
        <is>
          <t>Nombre de cas de SVS victimes de stigmatisation et discrimination qui ont accès aux services juridiques et à l’assistance judiciaire</t>
        </is>
      </c>
      <c r="C48" s="3" t="inlineStr">
        <is>
          <t>Autre</t>
        </is>
      </c>
    </row>
    <row r="49">
      <c r="A49" s="3" t="n">
        <v>46</v>
      </c>
      <c r="B49" s="3" t="inlineStr">
        <is>
          <t>Nombre de cas de stigmatisations et discrimination liées au VIH enregistrées envers les PVVIH toute formes confondues</t>
        </is>
      </c>
      <c r="C49" s="3" t="inlineStr">
        <is>
          <t>Autre</t>
        </is>
      </c>
    </row>
    <row r="50">
      <c r="A50" s="3" t="n">
        <v>47</v>
      </c>
      <c r="B50" s="3" t="inlineStr">
        <is>
          <t>Nombre de clients ayant retiré les résultats</t>
        </is>
      </c>
      <c r="C50" s="3" t="inlineStr">
        <is>
          <t>Autre</t>
        </is>
      </c>
    </row>
    <row r="51">
      <c r="A51" s="3" t="n">
        <v>48</v>
      </c>
      <c r="B51" s="3" t="inlineStr">
        <is>
          <t>Nombre de clients diagnostiqués VIH+</t>
        </is>
      </c>
      <c r="C51" s="3" t="inlineStr">
        <is>
          <t>Diagnostic</t>
        </is>
      </c>
    </row>
    <row r="52">
      <c r="A52" s="3" t="n">
        <v>49</v>
      </c>
      <c r="B52" s="3" t="inlineStr">
        <is>
          <t>Nombre de clients diagnostiqués VIH+ informés des résultats</t>
        </is>
      </c>
      <c r="C52" s="3" t="inlineStr">
        <is>
          <t>Diagnostic</t>
        </is>
      </c>
    </row>
    <row r="53">
      <c r="A53" s="3" t="n">
        <v>50</v>
      </c>
      <c r="B53" s="3" t="inlineStr">
        <is>
          <t>Nombre de clients testés</t>
        </is>
      </c>
      <c r="C53" s="3" t="inlineStr">
        <is>
          <t>Dépistage</t>
        </is>
      </c>
    </row>
    <row r="54">
      <c r="A54" s="3" t="n">
        <v>51</v>
      </c>
      <c r="B54" s="3" t="inlineStr">
        <is>
          <t>Nombre de comité sectoriel mis en place qui sont fonctionnels</t>
        </is>
      </c>
      <c r="C54" s="3" t="inlineStr">
        <is>
          <t>Autre</t>
        </is>
      </c>
    </row>
    <row r="55">
      <c r="A55" s="3" t="n">
        <v>52</v>
      </c>
      <c r="B55" s="3" t="inlineStr">
        <is>
          <t>Nombre de decisions judiciaires en faveur des PVVIH et/ou populations clés discriminées</t>
        </is>
      </c>
      <c r="C55" s="3" t="inlineStr">
        <is>
          <t>Autre</t>
        </is>
      </c>
    </row>
    <row r="56">
      <c r="A56" s="3" t="n">
        <v>53</v>
      </c>
      <c r="B56" s="3" t="inlineStr">
        <is>
          <t>Nombre de directives standardisées avec les pays limitrophes pour les interventions VIH en situation d’urgence</t>
        </is>
      </c>
      <c r="C56" s="3" t="inlineStr">
        <is>
          <t>Autre</t>
        </is>
      </c>
    </row>
    <row r="57">
      <c r="A57" s="3" t="n">
        <v>54</v>
      </c>
      <c r="B57" s="3" t="inlineStr">
        <is>
          <t xml:space="preserve">Nombre de document des normes ou politique nationale en matière du VIH en milieu du travail </t>
        </is>
      </c>
      <c r="C57" s="3" t="inlineStr">
        <is>
          <t>Autre</t>
        </is>
      </c>
    </row>
    <row r="58">
      <c r="A58" s="3" t="n">
        <v>55</v>
      </c>
      <c r="B58" s="3" t="inlineStr">
        <is>
          <t>Nombre de donneurs bénévoles fidélisés</t>
        </is>
      </c>
      <c r="C58" s="3" t="inlineStr">
        <is>
          <t>Autre</t>
        </is>
      </c>
    </row>
    <row r="59">
      <c r="A59" s="3" t="n">
        <v>56</v>
      </c>
      <c r="B59" s="3" t="inlineStr">
        <is>
          <t>Nombre de femmes VIH+ qui sont dépistées pour le cancer du col de l'utérus</t>
        </is>
      </c>
      <c r="C59" s="3" t="inlineStr">
        <is>
          <t>Diagnostic</t>
        </is>
      </c>
    </row>
    <row r="60">
      <c r="A60" s="3" t="n">
        <v>57</v>
      </c>
      <c r="B60" s="3" t="inlineStr">
        <is>
          <t xml:space="preserve">Nombre de femmes coinfectées VIH- cancer du col qui reçoivent un traitement contre ce cancer
</t>
        </is>
      </c>
      <c r="C60" s="3" t="inlineStr">
        <is>
          <t>Traitement</t>
        </is>
      </c>
    </row>
    <row r="61">
      <c r="A61" s="3" t="n">
        <v>58</v>
      </c>
      <c r="B61" s="3" t="inlineStr">
        <is>
          <t>Nombre de femmes enceintes dépistées pour la syphilis</t>
        </is>
      </c>
      <c r="C61" s="3" t="inlineStr">
        <is>
          <t>Autre</t>
        </is>
      </c>
    </row>
    <row r="62">
      <c r="A62" s="3" t="n">
        <v>59</v>
      </c>
      <c r="B62" s="3" t="inlineStr">
        <is>
          <t>Nombre de femmes enceintes séropositives  mises sous ARV avant leur grossesse</t>
        </is>
      </c>
      <c r="C62" s="3" t="inlineStr">
        <is>
          <t>Autre</t>
        </is>
      </c>
    </row>
    <row r="63">
      <c r="A63" s="3" t="n">
        <v>60</v>
      </c>
      <c r="B63" s="3" t="inlineStr">
        <is>
          <t>Nombre de femmes enceintes séropositives  mises sous ARV pendant leur grossesse</t>
        </is>
      </c>
      <c r="C63" s="3" t="inlineStr">
        <is>
          <t>Autre</t>
        </is>
      </c>
    </row>
    <row r="64">
      <c r="A64" s="3" t="n">
        <v>61</v>
      </c>
      <c r="B64" s="3" t="inlineStr">
        <is>
          <t>Nombre de femmes enceintes séropositives estimées dont le statut sérologique VIH est connu</t>
        </is>
      </c>
      <c r="C64" s="3" t="inlineStr">
        <is>
          <t>Autre</t>
        </is>
      </c>
    </row>
    <row r="65">
      <c r="A65" s="3" t="n">
        <v>62</v>
      </c>
      <c r="B65" s="3" t="inlineStr">
        <is>
          <t>Nombre de femmes enceintes séropositives mises sous ARV qui ont une charge virale supprimée à 6 mois</t>
        </is>
      </c>
      <c r="C65" s="3" t="inlineStr">
        <is>
          <t>Suppression Virale</t>
        </is>
      </c>
    </row>
    <row r="66">
      <c r="A66" s="3" t="n">
        <v>63</v>
      </c>
      <c r="B66" s="3" t="inlineStr">
        <is>
          <t>Nombre de femmes enceintes séropositives sous Traitement Antirétroviral (TAR)</t>
        </is>
      </c>
      <c r="C66" s="3" t="inlineStr">
        <is>
          <t>Traitement</t>
        </is>
      </c>
    </row>
    <row r="67">
      <c r="A67" s="3" t="n">
        <v>64</v>
      </c>
      <c r="B67" s="3" t="inlineStr">
        <is>
          <t>Nombre de femmes enceintes traitées pour la syphilis</t>
        </is>
      </c>
      <c r="C67" s="3" t="inlineStr">
        <is>
          <t>Autre</t>
        </is>
      </c>
    </row>
    <row r="68">
      <c r="A68" s="3" t="n">
        <v>65</v>
      </c>
      <c r="B68" s="3" t="inlineStr">
        <is>
          <t>Nombre de femmes enceintes utilisant les services de CPN1</t>
        </is>
      </c>
      <c r="C68" s="3" t="inlineStr">
        <is>
          <t>Autre</t>
        </is>
      </c>
    </row>
    <row r="69">
      <c r="A69" s="3" t="n">
        <v>66</v>
      </c>
      <c r="B69" s="3" t="inlineStr">
        <is>
          <t>Nombre de femmes enceintes utilisant les services de CPN1 au 1er trimestre</t>
        </is>
      </c>
      <c r="C69" s="3" t="inlineStr">
        <is>
          <t>Autre</t>
        </is>
      </c>
    </row>
    <row r="70">
      <c r="A70" s="3" t="n">
        <v>67</v>
      </c>
      <c r="B70" s="3" t="inlineStr">
        <is>
          <t>Nombre de femmes enceintes utilisant les services de CPN4</t>
        </is>
      </c>
      <c r="C70" s="3" t="inlineStr">
        <is>
          <t>Autre</t>
        </is>
      </c>
    </row>
    <row r="71">
      <c r="A71" s="3" t="n">
        <v>68</v>
      </c>
      <c r="B71" s="3" t="inlineStr">
        <is>
          <t>Nombre de forum réalisé</t>
        </is>
      </c>
      <c r="C71" s="3" t="inlineStr">
        <is>
          <t>Autre</t>
        </is>
      </c>
    </row>
    <row r="72">
      <c r="A72" s="3" t="n">
        <v>69</v>
      </c>
      <c r="B72" s="3" t="inlineStr">
        <is>
          <t>Nombre de gels lubrifiants distribués</t>
        </is>
      </c>
      <c r="C72" s="3" t="inlineStr">
        <is>
          <t>Autre</t>
        </is>
      </c>
    </row>
    <row r="73">
      <c r="A73" s="3" t="n">
        <v>70</v>
      </c>
      <c r="B73" s="3" t="inlineStr">
        <is>
          <t>Nombre de jeunes filles et femmes qui sont victimes de violences physiques ou sexuelles de la part d’un partenaire masculin</t>
        </is>
      </c>
      <c r="C73" s="3" t="inlineStr">
        <is>
          <t>Autre</t>
        </is>
      </c>
    </row>
    <row r="74">
      <c r="A74" s="3" t="n">
        <v>71</v>
      </c>
      <c r="B74" s="3" t="inlineStr">
        <is>
          <t>Nombre de partenaires masculins impliqués dans les activités  CPN</t>
        </is>
      </c>
      <c r="C74" s="3" t="inlineStr">
        <is>
          <t>Autre</t>
        </is>
      </c>
    </row>
    <row r="75">
      <c r="A75" s="3" t="n">
        <v>72</v>
      </c>
      <c r="B75" s="3" t="inlineStr">
        <is>
          <t>Nombre de patients Co infectés VIH-Hépatites (B et C); qui reçoivent un traitement contre ces hépatites</t>
        </is>
      </c>
      <c r="C75" s="3" t="inlineStr">
        <is>
          <t>Traitement</t>
        </is>
      </c>
    </row>
    <row r="76">
      <c r="A76" s="3" t="n">
        <v>73</v>
      </c>
      <c r="B76" s="3" t="inlineStr">
        <is>
          <t>Nombre de patients Co infectés VIH/autres IO et comorbidités qui reçoivent un traitement contre ces comorbidités</t>
        </is>
      </c>
      <c r="C76" s="3" t="inlineStr">
        <is>
          <t>Traitement</t>
        </is>
      </c>
    </row>
    <row r="77">
      <c r="A77" s="3" t="n">
        <v>74</v>
      </c>
      <c r="B77" s="3" t="inlineStr">
        <is>
          <t>Nombre de personnes  mis sous  PreP.</t>
        </is>
      </c>
      <c r="C77" s="3" t="inlineStr">
        <is>
          <t>Autre</t>
        </is>
      </c>
    </row>
    <row r="78">
      <c r="A78" s="3" t="n">
        <v>75</v>
      </c>
      <c r="B78" s="3" t="inlineStr">
        <is>
          <t>Nombre de personnes ayant déclaré avoir utilisé un lubrifiant avec le dernier client</t>
        </is>
      </c>
      <c r="C78" s="3" t="inlineStr">
        <is>
          <t>Autre</t>
        </is>
      </c>
    </row>
    <row r="79">
      <c r="A79" s="3" t="n">
        <v>76</v>
      </c>
      <c r="B79" s="3" t="inlineStr">
        <is>
          <t>Nombre de personnes ayant déclaré avoir utilisé un préservatif avec le dernier client</t>
        </is>
      </c>
      <c r="C79" s="3" t="inlineStr">
        <is>
          <t>Prévention</t>
        </is>
      </c>
    </row>
    <row r="80">
      <c r="A80" s="3" t="n">
        <v>77</v>
      </c>
      <c r="B80" s="3" t="inlineStr">
        <is>
          <t>Nombre de personnes ayant déclaré avoir utilisé une seringue autobloquante pour s’injecter de la drogue</t>
        </is>
      </c>
      <c r="C80" s="3" t="inlineStr">
        <is>
          <t>Autre</t>
        </is>
      </c>
    </row>
    <row r="81">
      <c r="A81" s="3" t="n">
        <v>78</v>
      </c>
      <c r="B81" s="3" t="inlineStr">
        <is>
          <t>Nombre de personnes ayant déclaré avoir utilisé une seringue pour s’injecter de la drogue</t>
        </is>
      </c>
      <c r="C81" s="3" t="inlineStr">
        <is>
          <t>Autre</t>
        </is>
      </c>
    </row>
    <row r="82">
      <c r="A82" s="3" t="n">
        <v>79</v>
      </c>
      <c r="B82" s="3" t="inlineStr">
        <is>
          <t>Nombre de personnes déclarées vulnérables qui accèdent aux services sociaux de base</t>
        </is>
      </c>
      <c r="C82" s="3" t="inlineStr">
        <is>
          <t>Autre</t>
        </is>
      </c>
    </row>
    <row r="83">
      <c r="A83" s="3" t="n">
        <v>80</v>
      </c>
      <c r="B83" s="3" t="inlineStr">
        <is>
          <t>Nombre de personnes qui bénéficient d’une prise en charge holistique du fait du VIH</t>
        </is>
      </c>
      <c r="C83" s="3" t="inlineStr">
        <is>
          <t>Autre</t>
        </is>
      </c>
    </row>
    <row r="84">
      <c r="A84" s="3" t="n">
        <v>81</v>
      </c>
      <c r="B84" s="3" t="inlineStr">
        <is>
          <t>Nombre de personnes qui bénéficient d’une prise en charge socio-économique</t>
        </is>
      </c>
      <c r="C84" s="3" t="inlineStr">
        <is>
          <t>Autre</t>
        </is>
      </c>
    </row>
    <row r="85">
      <c r="A85" s="3" t="n">
        <v>82</v>
      </c>
      <c r="B85" s="3" t="inlineStr">
        <is>
          <t>Nombre de personnes qui ont accès aux services d'accompagnement psychosocial; prévention; juridique et judiciaire</t>
        </is>
      </c>
      <c r="C85" s="3" t="inlineStr">
        <is>
          <t>Autre</t>
        </is>
      </c>
    </row>
    <row r="86">
      <c r="A86" s="3" t="n">
        <v>83</v>
      </c>
      <c r="B86" s="3" t="inlineStr">
        <is>
          <t>Nombre de personnes qui subissent une discrimination dans les FOSA</t>
        </is>
      </c>
      <c r="C86" s="3" t="inlineStr">
        <is>
          <t>Autre</t>
        </is>
      </c>
    </row>
    <row r="87">
      <c r="A87" s="3" t="n">
        <v>84</v>
      </c>
      <c r="B87" s="3" t="inlineStr">
        <is>
          <t>Nombre de personnes touchés par le programme de promotion de l’égalité de sexe dans le contexte du VIH et de la TB</t>
        </is>
      </c>
      <c r="C87" s="3" t="inlineStr">
        <is>
          <t>Autre</t>
        </is>
      </c>
    </row>
    <row r="88">
      <c r="A88" s="3" t="n">
        <v>85</v>
      </c>
      <c r="B88" s="3" t="inlineStr">
        <is>
          <t>Nombre de personnes touchés par les programmes de CCSC  ( sensibilisés)</t>
        </is>
      </c>
      <c r="C88" s="3" t="inlineStr">
        <is>
          <t>Autre</t>
        </is>
      </c>
    </row>
    <row r="89">
      <c r="A89" s="3" t="n">
        <v>86</v>
      </c>
      <c r="B89" s="3" t="inlineStr">
        <is>
          <t>Nombre de plans opérationnels provinciaux</t>
        </is>
      </c>
      <c r="C89" s="3" t="inlineStr">
        <is>
          <t>Autre</t>
        </is>
      </c>
    </row>
    <row r="90">
      <c r="A90" s="3" t="n">
        <v>87</v>
      </c>
      <c r="B90" s="3" t="inlineStr">
        <is>
          <t xml:space="preserve">Nombre de plans opérationnels sectoriels </t>
        </is>
      </c>
      <c r="C90" s="3" t="inlineStr">
        <is>
          <t>Autre</t>
        </is>
      </c>
    </row>
    <row r="91">
      <c r="A91" s="3" t="n">
        <v>88</v>
      </c>
      <c r="B91" s="3" t="inlineStr">
        <is>
          <t>Nombre de poches de sang testées aux quatre marqueurs</t>
        </is>
      </c>
      <c r="C91" s="3" t="inlineStr">
        <is>
          <t>Dépistage</t>
        </is>
      </c>
    </row>
    <row r="92">
      <c r="A92" s="3" t="n">
        <v>89</v>
      </c>
      <c r="B92" s="3" t="inlineStr">
        <is>
          <t>Nombre de point de vente des préservatifs</t>
        </is>
      </c>
      <c r="C92" s="3" t="inlineStr">
        <is>
          <t>Prévention</t>
        </is>
      </c>
    </row>
    <row r="93">
      <c r="A93" s="3" t="n">
        <v>90</v>
      </c>
      <c r="B93" s="3" t="inlineStr">
        <is>
          <t>Nombre de postes de coordination des instances de la riposte au VIH occupés par les femmes dans le respect de la Constitution</t>
        </is>
      </c>
      <c r="C93" s="3" t="inlineStr">
        <is>
          <t>Autre</t>
        </is>
      </c>
    </row>
    <row r="94">
      <c r="A94" s="3" t="n">
        <v>91</v>
      </c>
      <c r="B94" s="3" t="inlineStr">
        <is>
          <t>Nombre de préservatifs féminins distribués</t>
        </is>
      </c>
      <c r="C94" s="3" t="inlineStr">
        <is>
          <t>Prévention</t>
        </is>
      </c>
    </row>
    <row r="95">
      <c r="A95" s="3" t="n">
        <v>92</v>
      </c>
      <c r="B95" s="3" t="inlineStr">
        <is>
          <t>Nombre de préservatifs masculins distribués</t>
        </is>
      </c>
      <c r="C95" s="3" t="inlineStr">
        <is>
          <t>Prévention</t>
        </is>
      </c>
    </row>
    <row r="96">
      <c r="A96" s="3" t="n">
        <v>93</v>
      </c>
      <c r="B96" s="3" t="inlineStr">
        <is>
          <t>Nombre de radios et télévisions utilisés pour rendre disponibles  les informations sur la prévention et les services VIH organisés.</t>
        </is>
      </c>
      <c r="C96" s="3" t="inlineStr">
        <is>
          <t>Autre</t>
        </is>
      </c>
    </row>
    <row r="97">
      <c r="A97" s="3" t="n">
        <v>94</v>
      </c>
      <c r="B97" s="3" t="inlineStr">
        <is>
          <t>Nombre de réunion de coordination multisectorielle tenue</t>
        </is>
      </c>
      <c r="C97" s="3" t="inlineStr">
        <is>
          <t>Autre</t>
        </is>
      </c>
    </row>
    <row r="98">
      <c r="A98" s="3" t="n">
        <v>95</v>
      </c>
      <c r="B98" s="3" t="inlineStr">
        <is>
          <t>Nombre de réunions d'organes de pilotage tenues</t>
        </is>
      </c>
      <c r="C98" s="3" t="inlineStr">
        <is>
          <t>Autre</t>
        </is>
      </c>
    </row>
    <row r="99">
      <c r="A99" s="3" t="n">
        <v>96</v>
      </c>
      <c r="B99" s="3" t="inlineStr">
        <is>
          <t>Nombre de secteurs impliqués dans la riposte au VIH</t>
        </is>
      </c>
      <c r="C99" s="3" t="inlineStr">
        <is>
          <t>Autre</t>
        </is>
      </c>
    </row>
    <row r="100">
      <c r="A100" s="3" t="n">
        <v>97</v>
      </c>
      <c r="B100" s="3" t="inlineStr">
        <is>
          <t>Nombre de seringues autobloquantes distribuées</t>
        </is>
      </c>
      <c r="C100" s="3" t="inlineStr">
        <is>
          <t>Autre</t>
        </is>
      </c>
    </row>
    <row r="101">
      <c r="A101" s="3" t="n">
        <v>98</v>
      </c>
      <c r="B101" s="3" t="inlineStr">
        <is>
          <t>Nombre de structures de coordination GAS renforcées à tous les niveaux</t>
        </is>
      </c>
      <c r="C101" s="3" t="inlineStr">
        <is>
          <t>Autre</t>
        </is>
      </c>
    </row>
    <row r="102">
      <c r="A102" s="3" t="n">
        <v>99</v>
      </c>
      <c r="B102" s="3" t="inlineStr">
        <is>
          <t>Nombre des cas enregistrés de discrimination des PVVIH et/ou populations clés</t>
        </is>
      </c>
      <c r="C102" s="3" t="inlineStr">
        <is>
          <t>Autre</t>
        </is>
      </c>
    </row>
    <row r="103">
      <c r="A103" s="3" t="n">
        <v>100</v>
      </c>
      <c r="B103" s="3" t="inlineStr">
        <is>
          <t>Nombre des entreprises publique et privées disposant d'un dispositif efficace de mise en œuvre des interventions sida</t>
        </is>
      </c>
      <c r="C103" s="3" t="inlineStr">
        <is>
          <t>Autre</t>
        </is>
      </c>
    </row>
    <row r="104">
      <c r="A104" s="3" t="n">
        <v>101</v>
      </c>
      <c r="B104" s="3" t="inlineStr">
        <is>
          <t>Nombre des personnes exposées ayant bénéficié du Kit pour accident aux humeurs biologiques (Kit PEP)</t>
        </is>
      </c>
      <c r="C104" s="3" t="inlineStr">
        <is>
          <t>Autre</t>
        </is>
      </c>
    </row>
    <row r="105">
      <c r="A105" s="3" t="n">
        <v>102</v>
      </c>
      <c r="B105" s="3" t="inlineStr">
        <is>
          <t>Nombre des personnes exposées ayant bénéficié du Kit pour accident aux humeurs biologiques (Kit PEP) dans les 72h</t>
        </is>
      </c>
      <c r="C105" s="3" t="inlineStr">
        <is>
          <t>Autre</t>
        </is>
      </c>
    </row>
    <row r="106">
      <c r="A106" s="3" t="n">
        <v>103</v>
      </c>
      <c r="B106" s="3" t="inlineStr">
        <is>
          <t>Nombre des personnes qui sont décédées de la coinfection VIH-TB</t>
        </is>
      </c>
      <c r="C106" s="3" t="inlineStr">
        <is>
          <t>Autre</t>
        </is>
      </c>
    </row>
    <row r="107">
      <c r="A107" s="3" t="n">
        <v>104</v>
      </c>
      <c r="B107" s="3" t="inlineStr">
        <is>
          <t>Nombre des personnes qui sont décédés des autres comorbidité</t>
        </is>
      </c>
      <c r="C107" s="3" t="inlineStr">
        <is>
          <t>Autre</t>
        </is>
      </c>
    </row>
    <row r="108">
      <c r="A108" s="3" t="n">
        <v>105</v>
      </c>
      <c r="B108" s="3" t="inlineStr">
        <is>
          <t>Nombre des personnes victimes des accidents d’exposition  au sang et autres liquides biologiques</t>
        </is>
      </c>
      <c r="C108" s="3" t="inlineStr">
        <is>
          <t>Autre</t>
        </is>
      </c>
    </row>
    <row r="109">
      <c r="A109" s="3" t="n">
        <v>106</v>
      </c>
      <c r="B109" s="3" t="inlineStr">
        <is>
          <t>Nombre des populations vulnérables et en situation humanitaire qui bénéficient d'une prise en charge de qualité</t>
        </is>
      </c>
      <c r="C109" s="3" t="inlineStr">
        <is>
          <t>Autre</t>
        </is>
      </c>
    </row>
    <row r="110">
      <c r="A110" s="3" t="n">
        <v>107</v>
      </c>
      <c r="B110" s="3" t="inlineStr">
        <is>
          <t>Nombre des survivants de violences sexuelles (SVS) ayant bénéficié du Kit PEP dans les 72h</t>
        </is>
      </c>
      <c r="C110" s="3" t="inlineStr">
        <is>
          <t>Autre</t>
        </is>
      </c>
    </row>
    <row r="111">
      <c r="A111" s="3" t="n">
        <v>108</v>
      </c>
      <c r="B111" s="3" t="inlineStr">
        <is>
          <t>Nombre des survivants des violences sexuelles (SVS) ayant bénéficié du Kit PEP</t>
        </is>
      </c>
      <c r="C111" s="3" t="inlineStr">
        <is>
          <t>Autre</t>
        </is>
      </c>
    </row>
    <row r="112">
      <c r="A112" s="3" t="n">
        <v>109</v>
      </c>
      <c r="B112" s="3" t="inlineStr">
        <is>
          <t xml:space="preserve">Nombre d’acteurs qui accèdent et utilisent les données </t>
        </is>
      </c>
      <c r="C112" s="3" t="inlineStr">
        <is>
          <t>Autre</t>
        </is>
      </c>
    </row>
    <row r="113">
      <c r="A113" s="3" t="n">
        <v>110</v>
      </c>
      <c r="B113" s="3" t="inlineStr">
        <is>
          <t>Nombre d’adolescents ayant déjà eu des rapports sexuels</t>
        </is>
      </c>
      <c r="C113" s="3" t="inlineStr">
        <is>
          <t>Autre</t>
        </is>
      </c>
    </row>
    <row r="114">
      <c r="A114" s="3" t="n">
        <v>111</v>
      </c>
      <c r="B114" s="3" t="inlineStr">
        <is>
          <t>Nombre total de Programme VIH</t>
        </is>
      </c>
      <c r="C114" s="3" t="inlineStr">
        <is>
          <t>Autre</t>
        </is>
      </c>
    </row>
    <row r="115">
      <c r="A115" s="3" t="n">
        <v>112</v>
      </c>
      <c r="B115" s="3" t="inlineStr">
        <is>
          <t>Nombre total de cas IST diagnostiqués et traités selon l’approche syndromique</t>
        </is>
      </c>
      <c r="C115" s="3" t="inlineStr">
        <is>
          <t>Diagnostic</t>
        </is>
      </c>
    </row>
    <row r="116">
      <c r="A116" s="3" t="n">
        <v>113</v>
      </c>
      <c r="B116" s="3" t="inlineStr">
        <is>
          <t>Nombre total de cas IST diagnostiqués et traités selon l’approche étiologique</t>
        </is>
      </c>
      <c r="C116" s="3" t="inlineStr">
        <is>
          <t>Diagnostic</t>
        </is>
      </c>
    </row>
    <row r="117">
      <c r="A117" s="3" t="n">
        <v>114</v>
      </c>
      <c r="B117" s="3" t="inlineStr">
        <is>
          <t>Nombre total de la population</t>
        </is>
      </c>
      <c r="C117" s="3" t="inlineStr">
        <is>
          <t>Autre</t>
        </is>
      </c>
    </row>
    <row r="118">
      <c r="A118" s="3" t="n">
        <v>115</v>
      </c>
      <c r="B118" s="3" t="inlineStr">
        <is>
          <t>Nombre total de nouveaux cas IST diagnostiqués au cours du Trimestre</t>
        </is>
      </c>
      <c r="C118" s="3" t="inlineStr">
        <is>
          <t>Diagnostic</t>
        </is>
      </c>
    </row>
    <row r="119">
      <c r="A119" s="3" t="n">
        <v>116</v>
      </c>
      <c r="B119" s="3" t="inlineStr">
        <is>
          <t>Nombre total d’enfants nés des femmes séropositives ayant accouché</t>
        </is>
      </c>
      <c r="C119" s="3" t="inlineStr">
        <is>
          <t>Autre</t>
        </is>
      </c>
    </row>
    <row r="120">
      <c r="A120" s="3" t="n">
        <v>117</v>
      </c>
      <c r="B120" s="3" t="inlineStr">
        <is>
          <t>Nombre  d’OEV du fait du sida qui ont accès à un service de protection sociale (alimentaire; juridique; judiciaire; psychologique)</t>
        </is>
      </c>
      <c r="C120" s="3" t="inlineStr">
        <is>
          <t>Autre</t>
        </is>
      </c>
    </row>
    <row r="121">
      <c r="A121" s="3" t="n">
        <v>118</v>
      </c>
      <c r="B121" s="3" t="inlineStr">
        <is>
          <t>nombre Réunion des comités médicament tenue</t>
        </is>
      </c>
      <c r="C121" s="3" t="inlineStr">
        <is>
          <t>Autre</t>
        </is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40" customWidth="1" min="1" max="1"/>
    <col width="70" customWidth="1" min="2" max="2"/>
  </cols>
  <sheetData>
    <row r="1">
      <c r="A1" s="4" t="inlineStr">
        <is>
          <t>TABLEAU DE BORD INTERACTIF - VIH/SIDA RDC</t>
        </is>
      </c>
    </row>
    <row r="2">
      <c r="A2" s="5" t="inlineStr">
        <is>
          <t>Sélectionnez un indicateur dans la liste ci-dessous pour voir les analyses correspondantes</t>
        </is>
      </c>
    </row>
    <row r="4">
      <c r="A4" s="6" t="inlineStr">
        <is>
          <t>SÉLECTIONNER UN INDICATEUR:</t>
        </is>
      </c>
      <c r="B4" s="7" t="inlineStr">
        <is>
          <t>Montant (en FC) de financement interne alloué au VIH</t>
        </is>
      </c>
    </row>
    <row r="6">
      <c r="A6" s="8" t="inlineStr">
        <is>
          <t>INSTRUCTIONS:</t>
        </is>
      </c>
    </row>
    <row r="7">
      <c r="A7" t="inlineStr">
        <is>
          <t>1. Cliquez sur la cellule jaune ci-dessus (B4)</t>
        </is>
      </c>
    </row>
    <row r="8">
      <c r="A8" t="inlineStr">
        <is>
          <t>2. Un menu déroulant apparaîtra avec la liste des indicateurs</t>
        </is>
      </c>
    </row>
    <row r="9">
      <c r="A9" t="inlineStr">
        <is>
          <t>3. Sélectionnez l'indicateur que vous souhaitez analyser</t>
        </is>
      </c>
    </row>
    <row r="10">
      <c r="A10" t="inlineStr">
        <is>
          <t>4. Les données détaillées sont dans les onglets Ind_1 à Ind_10</t>
        </is>
      </c>
    </row>
    <row r="11">
      <c r="A11" t="inlineStr"/>
    </row>
    <row r="12">
      <c r="A12" t="inlineStr">
        <is>
          <t>ONGLETS DE CE CLASSEUR:</t>
        </is>
      </c>
    </row>
    <row r="13">
      <c r="A13" t="inlineStr">
        <is>
          <t>• Liste_Indicateurs: Liste complète des 118 indicateurs</t>
        </is>
      </c>
    </row>
    <row r="14">
      <c r="A14" t="inlineStr">
        <is>
          <t>• Dashboard_Interactif: Cette page (sélection d'indicateur)</t>
        </is>
      </c>
    </row>
    <row r="15">
      <c r="A15" t="inlineStr">
        <is>
          <t>• Cascade_95-95-95: Analyse de la cascade ONUSIDA</t>
        </is>
      </c>
    </row>
    <row r="16">
      <c r="A16" t="inlineStr">
        <is>
          <t>• Ind_1 à Ind_10: Analyses détaillées par indicateur</t>
        </is>
      </c>
    </row>
    <row r="20">
      <c r="A20" s="9" t="inlineStr">
        <is>
          <t>INDEX DES ONGLETS D'ANALYSE PAR INDICATEUR:</t>
        </is>
      </c>
    </row>
    <row r="21">
      <c r="A21" s="2" t="inlineStr">
        <is>
          <t>Onglet</t>
        </is>
      </c>
      <c r="B21" s="2" t="inlineStr">
        <is>
          <t>Indicateur</t>
        </is>
      </c>
    </row>
    <row r="22">
      <c r="A22" s="3" t="inlineStr">
        <is>
          <t>Ind_1</t>
        </is>
      </c>
      <c r="B22" s="3" t="inlineStr">
        <is>
          <t>Nombre de clients testés</t>
        </is>
      </c>
    </row>
    <row r="23">
      <c r="A23" s="3" t="inlineStr">
        <is>
          <t>Ind_2</t>
        </is>
      </c>
      <c r="B23" s="3" t="inlineStr">
        <is>
          <t>Nombre de clients diagnostiqués VIH+</t>
        </is>
      </c>
    </row>
    <row r="24">
      <c r="A24" s="3" t="inlineStr">
        <is>
          <t>Ind_3</t>
        </is>
      </c>
      <c r="B24" s="3" t="inlineStr">
        <is>
          <t>Nombre de PVVIH sous TAR</t>
        </is>
      </c>
    </row>
    <row r="25">
      <c r="A25" s="3" t="inlineStr">
        <is>
          <t>Ind_4</t>
        </is>
      </c>
      <c r="B25" s="3" t="inlineStr">
        <is>
          <t>Nombre  de PVVIH sous TAR qui ont supprimée la charge virale</t>
        </is>
      </c>
    </row>
    <row r="26">
      <c r="A26" s="3" t="inlineStr">
        <is>
          <t>Ind_5</t>
        </is>
      </c>
      <c r="B26" s="3" t="inlineStr">
        <is>
          <t>Nombre de préservatifs masculins distribués</t>
        </is>
      </c>
    </row>
    <row r="27">
      <c r="A27" s="3" t="inlineStr">
        <is>
          <t>Ind_6</t>
        </is>
      </c>
      <c r="B27" s="3" t="inlineStr">
        <is>
          <t>Nombre de préservatifs féminins distribués</t>
        </is>
      </c>
    </row>
    <row r="35">
      <c r="A35" s="9" t="inlineStr">
        <is>
          <t>STATISTIQUES RAPIDES DU DATASET:</t>
        </is>
      </c>
    </row>
    <row r="36">
      <c r="A36" s="10" t="inlineStr">
        <is>
          <t>Métrique</t>
        </is>
      </c>
      <c r="B36" s="10" t="inlineStr">
        <is>
          <t>Valeur</t>
        </is>
      </c>
    </row>
    <row r="37">
      <c r="A37" s="3" t="inlineStr">
        <is>
          <t>Nombre total d'enregistrements</t>
        </is>
      </c>
      <c r="B37" s="3" t="n">
        <v>85811</v>
      </c>
    </row>
    <row r="38">
      <c r="A38" s="3" t="inlineStr">
        <is>
          <t>Nombre de provinces</t>
        </is>
      </c>
      <c r="B38" s="3" t="n">
        <v>26</v>
      </c>
    </row>
    <row r="39">
      <c r="A39" s="3" t="inlineStr">
        <is>
          <t>Nombre d'indicateurs</t>
        </is>
      </c>
      <c r="B39" s="3" t="n">
        <v>118</v>
      </c>
    </row>
    <row r="40">
      <c r="A40" s="3" t="inlineStr">
        <is>
          <t>Période couverte</t>
        </is>
      </c>
      <c r="B40" s="3" t="inlineStr">
        <is>
          <t>2020 - 2024</t>
        </is>
      </c>
    </row>
  </sheetData>
  <mergeCells count="3">
    <mergeCell ref="B4:G4"/>
    <mergeCell ref="A2:H2"/>
    <mergeCell ref="A1:H1"/>
  </mergeCells>
  <dataValidations count="1">
    <dataValidation sqref="B4" showDropDown="0" showInputMessage="0" showErrorMessage="0" allowBlank="0" promptTitle="Choix d'indicateur" prompt="Sélectionnez un indicateur" type="list">
      <formula1>'Liste_Indicateurs'!$B$4:$B$121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4" t="inlineStr">
        <is>
          <t>CASCADE ONUSIDA 95-95-95 - RDC</t>
        </is>
      </c>
    </row>
    <row r="2">
      <c r="A2" s="5" t="inlineStr">
        <is>
          <t>Objectif: 95% diagnostiqués | 95% sous traitement | 95% charge virale supprimée</t>
        </is>
      </c>
    </row>
    <row r="4">
      <c r="A4" s="9" t="inlineStr">
        <is>
          <t>Cascade par Année</t>
        </is>
      </c>
    </row>
    <row r="5">
      <c r="A5" s="11" t="inlineStr">
        <is>
          <t>Année</t>
        </is>
      </c>
      <c r="B5" s="11" t="inlineStr">
        <is>
          <t>Testés</t>
        </is>
      </c>
      <c r="C5" s="11" t="inlineStr">
        <is>
          <t>Diagnostiqués VIH+</t>
        </is>
      </c>
      <c r="D5" s="11" t="inlineStr">
        <is>
          <t>Sous TAR</t>
        </is>
      </c>
      <c r="E5" s="11" t="inlineStr">
        <is>
          <t>Charge Virale Supprimée</t>
        </is>
      </c>
    </row>
    <row r="6">
      <c r="A6" s="3" t="n">
        <v>2020</v>
      </c>
      <c r="B6" s="3" t="n">
        <v>2318304</v>
      </c>
      <c r="C6" s="3" t="n">
        <v>160302</v>
      </c>
      <c r="D6" s="3" t="n">
        <v>806607</v>
      </c>
      <c r="E6" s="3" t="n">
        <v>86902</v>
      </c>
    </row>
    <row r="7">
      <c r="A7" s="3" t="n">
        <v>2021</v>
      </c>
      <c r="B7" s="3" t="n">
        <v>2908045</v>
      </c>
      <c r="C7" s="3" t="n">
        <v>139421</v>
      </c>
      <c r="D7" s="3" t="n">
        <v>473850</v>
      </c>
      <c r="E7" s="3" t="n">
        <v>85412</v>
      </c>
    </row>
    <row r="8">
      <c r="A8" s="3" t="n">
        <v>2022</v>
      </c>
      <c r="B8" s="3" t="n">
        <v>2542447</v>
      </c>
      <c r="C8" s="3" t="n">
        <v>125980</v>
      </c>
      <c r="D8" s="3" t="n">
        <v>1019114</v>
      </c>
      <c r="E8" s="3" t="n">
        <v>202792</v>
      </c>
    </row>
    <row r="9">
      <c r="A9" s="3" t="n">
        <v>2023</v>
      </c>
      <c r="B9" s="3" t="n">
        <v>2569841</v>
      </c>
      <c r="C9" s="3" t="n">
        <v>87153</v>
      </c>
      <c r="D9" s="3" t="n">
        <v>1393070</v>
      </c>
      <c r="E9" s="3" t="n">
        <v>74865</v>
      </c>
    </row>
    <row r="10">
      <c r="A10" s="3" t="n">
        <v>2024</v>
      </c>
      <c r="B10" s="3" t="n">
        <v>2081153</v>
      </c>
      <c r="C10" s="3" t="n">
        <v>44487</v>
      </c>
      <c r="D10" s="3" t="n">
        <v>1337043</v>
      </c>
      <c r="E10" s="3" t="n">
        <v>70171</v>
      </c>
    </row>
    <row r="12">
      <c r="A12" s="2" t="inlineStr">
        <is>
          <t>Année</t>
        </is>
      </c>
      <c r="B12" s="2" t="inlineStr">
        <is>
          <t>Taux Traitement (%)</t>
        </is>
      </c>
      <c r="C12" s="2" t="inlineStr">
        <is>
          <t>Taux Suppression (%)</t>
        </is>
      </c>
    </row>
    <row r="13">
      <c r="A13" s="3" t="n">
        <v>2020</v>
      </c>
      <c r="B13" s="3" t="n">
        <v>503.18</v>
      </c>
      <c r="C13" s="3" t="n">
        <v>10.77</v>
      </c>
    </row>
    <row r="14">
      <c r="A14" s="3" t="n">
        <v>2021</v>
      </c>
      <c r="B14" s="3" t="n">
        <v>339.87</v>
      </c>
      <c r="C14" s="3" t="n">
        <v>18.03</v>
      </c>
    </row>
    <row r="15">
      <c r="A15" s="3" t="n">
        <v>2022</v>
      </c>
      <c r="B15" s="3" t="n">
        <v>808.95</v>
      </c>
      <c r="C15" s="3" t="n">
        <v>19.9</v>
      </c>
    </row>
    <row r="16">
      <c r="A16" s="3" t="n">
        <v>2023</v>
      </c>
      <c r="B16" s="3" t="n">
        <v>1598.42</v>
      </c>
      <c r="C16" s="3" t="n">
        <v>5.37</v>
      </c>
    </row>
    <row r="17">
      <c r="A17" s="3" t="n">
        <v>2024</v>
      </c>
      <c r="B17" s="3" t="n">
        <v>3005.47</v>
      </c>
      <c r="C17" s="3" t="n">
        <v>5.25</v>
      </c>
    </row>
    <row r="21">
      <c r="A21" s="9" t="inlineStr">
        <is>
          <t>Cascade par Province</t>
        </is>
      </c>
    </row>
    <row r="22">
      <c r="A22" s="11" t="inlineStr">
        <is>
          <t>Province</t>
        </is>
      </c>
      <c r="B22" s="11" t="inlineStr">
        <is>
          <t>Testés</t>
        </is>
      </c>
      <c r="C22" s="11" t="inlineStr">
        <is>
          <t>Diagnostiqués VIH+</t>
        </is>
      </c>
      <c r="D22" s="11" t="inlineStr">
        <is>
          <t>Sous TAR</t>
        </is>
      </c>
      <c r="E22" s="11" t="inlineStr">
        <is>
          <t>Charge Virale Supprimée</t>
        </is>
      </c>
    </row>
    <row r="23">
      <c r="A23" s="3" t="inlineStr">
        <is>
          <t>Haut-Katanga</t>
        </is>
      </c>
      <c r="B23" s="3" t="n">
        <v>2747903</v>
      </c>
      <c r="C23" s="3" t="n">
        <v>178676</v>
      </c>
      <c r="D23" s="3" t="n">
        <v>1884943</v>
      </c>
      <c r="E23" s="3" t="n">
        <v>278193</v>
      </c>
    </row>
    <row r="24">
      <c r="A24" s="3" t="inlineStr">
        <is>
          <t>Kinshasa</t>
        </is>
      </c>
      <c r="B24" s="3" t="n">
        <v>2157267</v>
      </c>
      <c r="C24" s="3" t="n">
        <v>153660</v>
      </c>
      <c r="D24" s="3" t="n">
        <v>221398</v>
      </c>
      <c r="E24" s="3" t="n">
        <v>176468</v>
      </c>
    </row>
    <row r="25">
      <c r="A25" s="3" t="inlineStr">
        <is>
          <t>Ituri</t>
        </is>
      </c>
      <c r="B25" s="3" t="n">
        <v>917322</v>
      </c>
      <c r="C25" s="3" t="n">
        <v>56343</v>
      </c>
      <c r="D25" s="3" t="n">
        <v>407364</v>
      </c>
      <c r="E25" s="3" t="n">
        <v>1078</v>
      </c>
    </row>
    <row r="26">
      <c r="A26" s="3" t="inlineStr">
        <is>
          <t>Sud Kivu</t>
        </is>
      </c>
      <c r="B26" s="3" t="n">
        <v>849096</v>
      </c>
      <c r="C26" s="3" t="n">
        <v>17076</v>
      </c>
      <c r="D26" s="3" t="n">
        <v>611070</v>
      </c>
      <c r="E26" s="3" t="n">
        <v>3837</v>
      </c>
    </row>
    <row r="27">
      <c r="A27" s="3" t="inlineStr">
        <is>
          <t>Nord-Kivu</t>
        </is>
      </c>
      <c r="B27" s="3" t="n">
        <v>695955</v>
      </c>
      <c r="C27" s="3" t="n">
        <v>14021</v>
      </c>
      <c r="D27" s="3" t="n">
        <v>97054</v>
      </c>
      <c r="E27" s="3" t="n">
        <v>22933</v>
      </c>
    </row>
    <row r="28">
      <c r="A28" s="3" t="inlineStr">
        <is>
          <t>Haut-Lomami</t>
        </is>
      </c>
      <c r="B28" s="3" t="n">
        <v>574700</v>
      </c>
      <c r="C28" s="3" t="n">
        <v>8133</v>
      </c>
      <c r="D28" s="3" t="n">
        <v>232855</v>
      </c>
      <c r="E28" s="3" t="n">
        <v>267</v>
      </c>
    </row>
    <row r="29">
      <c r="A29" s="3" t="inlineStr">
        <is>
          <t>Kwilu</t>
        </is>
      </c>
      <c r="B29" s="3" t="n">
        <v>521908</v>
      </c>
      <c r="C29" s="3" t="n">
        <v>4597</v>
      </c>
      <c r="D29" s="3" t="n">
        <v>168477</v>
      </c>
      <c r="E29" s="3" t="n">
        <v>646</v>
      </c>
    </row>
    <row r="30">
      <c r="A30" s="3" t="inlineStr">
        <is>
          <t>Kongo-Central</t>
        </is>
      </c>
      <c r="B30" s="3" t="n">
        <v>436409</v>
      </c>
      <c r="C30" s="3" t="n">
        <v>7035</v>
      </c>
      <c r="D30" s="3" t="n">
        <v>222605</v>
      </c>
      <c r="E30" s="3" t="n">
        <v>1491</v>
      </c>
    </row>
    <row r="31">
      <c r="A31" s="3" t="inlineStr">
        <is>
          <t>Nord-Ubangi</t>
        </is>
      </c>
      <c r="B31" s="3" t="n">
        <v>428042</v>
      </c>
      <c r="C31" s="3" t="n">
        <v>915</v>
      </c>
      <c r="D31" s="3" t="n">
        <v>24149</v>
      </c>
      <c r="E31" s="3" t="n">
        <v>158</v>
      </c>
    </row>
    <row r="32">
      <c r="A32" s="3" t="inlineStr">
        <is>
          <t>Kwango</t>
        </is>
      </c>
      <c r="B32" s="3" t="n">
        <v>357852</v>
      </c>
      <c r="C32" s="3" t="n">
        <v>1263</v>
      </c>
      <c r="D32" s="3" t="n">
        <v>48909</v>
      </c>
      <c r="E32" s="3" t="n">
        <v>36</v>
      </c>
    </row>
    <row r="33">
      <c r="A33" s="3" t="inlineStr">
        <is>
          <t>Tanganyika</t>
        </is>
      </c>
      <c r="B33" s="3" t="n">
        <v>296438</v>
      </c>
      <c r="C33" s="3" t="n">
        <v>4672</v>
      </c>
      <c r="D33" s="3" t="n">
        <v>4611</v>
      </c>
      <c r="E33" s="3" t="n">
        <v>256</v>
      </c>
    </row>
    <row r="34">
      <c r="A34" s="3" t="inlineStr">
        <is>
          <t>Mongala</t>
        </is>
      </c>
      <c r="B34" s="3" t="n">
        <v>289485</v>
      </c>
      <c r="C34" s="3" t="n">
        <v>4611</v>
      </c>
      <c r="D34" s="3" t="n">
        <v>56010</v>
      </c>
      <c r="E34" s="3" t="n">
        <v>0</v>
      </c>
    </row>
    <row r="35">
      <c r="A35" s="3" t="inlineStr">
        <is>
          <t>Lualaba</t>
        </is>
      </c>
      <c r="B35" s="3" t="n">
        <v>283675</v>
      </c>
      <c r="C35" s="3" t="n">
        <v>13941</v>
      </c>
      <c r="D35" s="3" t="n">
        <v>44822</v>
      </c>
      <c r="E35" s="3" t="n">
        <v>19652</v>
      </c>
    </row>
    <row r="36">
      <c r="A36" s="3" t="inlineStr">
        <is>
          <t>Sud-Ubangi</t>
        </is>
      </c>
      <c r="B36" s="3" t="n">
        <v>236314</v>
      </c>
      <c r="C36" s="3" t="n">
        <v>1143</v>
      </c>
      <c r="D36" s="3" t="n">
        <v>51535</v>
      </c>
      <c r="E36" s="3" t="n">
        <v>316</v>
      </c>
    </row>
    <row r="37">
      <c r="A37" s="3" t="inlineStr">
        <is>
          <t>Kasaï-Oriental</t>
        </is>
      </c>
      <c r="B37" s="3" t="n">
        <v>216401</v>
      </c>
      <c r="C37" s="3" t="n">
        <v>6508</v>
      </c>
      <c r="D37" s="3" t="n">
        <v>234918</v>
      </c>
      <c r="E37" s="3" t="n">
        <v>3360</v>
      </c>
    </row>
    <row r="38">
      <c r="A38" s="3" t="inlineStr">
        <is>
          <t>Lomami</t>
        </is>
      </c>
      <c r="B38" s="3" t="n">
        <v>215526</v>
      </c>
      <c r="C38" s="3" t="n">
        <v>1098</v>
      </c>
      <c r="D38" s="3" t="n">
        <v>31441</v>
      </c>
      <c r="E38" s="3" t="n">
        <v>196</v>
      </c>
    </row>
    <row r="39">
      <c r="A39" s="3" t="inlineStr">
        <is>
          <t>Maniema</t>
        </is>
      </c>
      <c r="B39" s="3" t="n">
        <v>192688</v>
      </c>
      <c r="C39" s="3" t="n">
        <v>6498</v>
      </c>
      <c r="D39" s="3" t="n">
        <v>111442</v>
      </c>
      <c r="E39" s="3" t="n">
        <v>130</v>
      </c>
    </row>
    <row r="40">
      <c r="A40" s="3" t="inlineStr">
        <is>
          <t>Bas-Uele</t>
        </is>
      </c>
      <c r="B40" s="3" t="n">
        <v>178732</v>
      </c>
      <c r="C40" s="3" t="n">
        <v>6981</v>
      </c>
      <c r="D40" s="3" t="n">
        <v>139393</v>
      </c>
      <c r="E40" s="3" t="n">
        <v>150</v>
      </c>
    </row>
    <row r="41">
      <c r="A41" s="3" t="inlineStr">
        <is>
          <t>Mai-Ndombe</t>
        </is>
      </c>
      <c r="B41" s="3" t="n">
        <v>153604</v>
      </c>
      <c r="C41" s="3" t="n">
        <v>716</v>
      </c>
      <c r="D41" s="3" t="n">
        <v>29846</v>
      </c>
      <c r="E41" s="3" t="n">
        <v>186</v>
      </c>
    </row>
    <row r="42">
      <c r="A42" s="3" t="inlineStr">
        <is>
          <t>Haut-Uele</t>
        </is>
      </c>
      <c r="B42" s="3" t="n">
        <v>145898</v>
      </c>
      <c r="C42" s="3" t="n">
        <v>25189</v>
      </c>
      <c r="D42" s="3" t="n">
        <v>99157</v>
      </c>
      <c r="E42" s="3" t="n">
        <v>6423</v>
      </c>
    </row>
    <row r="43">
      <c r="A43" s="3" t="inlineStr">
        <is>
          <t>Kasaï</t>
        </is>
      </c>
      <c r="B43" s="3" t="n">
        <v>127615</v>
      </c>
      <c r="C43" s="3" t="n">
        <v>3132</v>
      </c>
      <c r="D43" s="3" t="n">
        <v>11286</v>
      </c>
      <c r="E43" s="3" t="n">
        <v>197</v>
      </c>
    </row>
    <row r="44">
      <c r="A44" s="3" t="inlineStr">
        <is>
          <t>Sankuru</t>
        </is>
      </c>
      <c r="B44" s="3" t="n">
        <v>121096</v>
      </c>
      <c r="C44" s="3" t="n">
        <v>2950</v>
      </c>
      <c r="D44" s="3" t="n">
        <v>10266</v>
      </c>
      <c r="E44" s="3" t="n">
        <v>0</v>
      </c>
    </row>
    <row r="45">
      <c r="A45" s="3" t="inlineStr">
        <is>
          <t>Kasaï-Central</t>
        </is>
      </c>
      <c r="B45" s="3" t="n">
        <v>93410</v>
      </c>
      <c r="C45" s="3" t="n">
        <v>3804</v>
      </c>
      <c r="D45" s="3" t="n">
        <v>146969</v>
      </c>
      <c r="E45" s="3" t="n">
        <v>990</v>
      </c>
    </row>
    <row r="46">
      <c r="A46" s="3" t="inlineStr">
        <is>
          <t>Équateur</t>
        </is>
      </c>
      <c r="B46" s="3" t="n">
        <v>86994</v>
      </c>
      <c r="C46" s="3" t="n">
        <v>1415</v>
      </c>
      <c r="D46" s="3" t="n">
        <v>29921</v>
      </c>
      <c r="E46" s="3" t="n">
        <v>1884</v>
      </c>
    </row>
    <row r="47">
      <c r="A47" s="3" t="inlineStr">
        <is>
          <t>Tshopo</t>
        </is>
      </c>
      <c r="B47" s="3" t="n">
        <v>75315</v>
      </c>
      <c r="C47" s="3" t="n">
        <v>5273</v>
      </c>
      <c r="D47" s="3" t="n">
        <v>85160</v>
      </c>
      <c r="E47" s="3" t="n">
        <v>1290</v>
      </c>
    </row>
    <row r="48">
      <c r="A48" s="3" t="inlineStr">
        <is>
          <t>Tshuapa</t>
        </is>
      </c>
      <c r="B48" s="3" t="n">
        <v>20145</v>
      </c>
      <c r="C48" s="3" t="n">
        <v>27693</v>
      </c>
      <c r="D48" s="3" t="n">
        <v>24083</v>
      </c>
      <c r="E48" s="3" t="n">
        <v>5</v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5" customWidth="1" min="3" max="3"/>
    <col width="12" customWidth="1" min="4" max="4"/>
  </cols>
  <sheetData>
    <row r="1">
      <c r="A1" s="12" t="inlineStr">
        <is>
          <t>ANALYSE: Nombre de clients testés</t>
        </is>
      </c>
    </row>
    <row r="3">
      <c r="A3" s="13" t="inlineStr">
        <is>
          <t>TOTAL</t>
        </is>
      </c>
      <c r="B3" s="14" t="n">
        <v>12419790</v>
      </c>
    </row>
    <row r="5">
      <c r="A5" s="15" t="inlineStr">
        <is>
          <t>Analyse par Année</t>
        </is>
      </c>
    </row>
    <row r="6">
      <c r="A6" s="11" t="inlineStr">
        <is>
          <t>Année</t>
        </is>
      </c>
      <c r="B6" s="11" t="inlineStr">
        <is>
          <t>Valeur</t>
        </is>
      </c>
      <c r="C6" s="11" t="inlineStr">
        <is>
          <t>Croissance (%)</t>
        </is>
      </c>
    </row>
    <row r="7">
      <c r="A7" s="3" t="n">
        <v>2020</v>
      </c>
      <c r="B7" s="3" t="n">
        <v>2318304</v>
      </c>
      <c r="C7" s="3" t="n">
        <v>0</v>
      </c>
    </row>
    <row r="8">
      <c r="A8" s="3" t="n">
        <v>2021</v>
      </c>
      <c r="B8" s="3" t="n">
        <v>2908045</v>
      </c>
      <c r="C8" s="3" t="n">
        <v>25.44</v>
      </c>
    </row>
    <row r="9">
      <c r="A9" s="3" t="n">
        <v>2022</v>
      </c>
      <c r="B9" s="3" t="n">
        <v>2542447</v>
      </c>
      <c r="C9" s="3" t="n">
        <v>-12.57</v>
      </c>
    </row>
    <row r="10">
      <c r="A10" s="3" t="n">
        <v>2023</v>
      </c>
      <c r="B10" s="3" t="n">
        <v>2569841</v>
      </c>
      <c r="C10" s="3" t="n">
        <v>1.08</v>
      </c>
    </row>
    <row r="11">
      <c r="A11" s="3" t="n">
        <v>2024</v>
      </c>
      <c r="B11" s="3" t="n">
        <v>2081153</v>
      </c>
      <c r="C11" s="3" t="n">
        <v>-19.02</v>
      </c>
    </row>
    <row r="14">
      <c r="A14" s="15" t="inlineStr">
        <is>
          <t>Analyse par Province</t>
        </is>
      </c>
    </row>
    <row r="15">
      <c r="A15" s="11" t="inlineStr">
        <is>
          <t>Rang</t>
        </is>
      </c>
      <c r="B15" s="11" t="inlineStr">
        <is>
          <t>Province</t>
        </is>
      </c>
      <c r="C15" s="11" t="inlineStr">
        <is>
          <t>Valeur</t>
        </is>
      </c>
      <c r="D15" s="11" t="inlineStr">
        <is>
          <t>% du Total</t>
        </is>
      </c>
    </row>
    <row r="16">
      <c r="A16" s="3" t="n">
        <v>1</v>
      </c>
      <c r="B16" s="3" t="inlineStr">
        <is>
          <t>Haut-Katanga</t>
        </is>
      </c>
      <c r="C16" s="3" t="n">
        <v>2747903</v>
      </c>
      <c r="D16" s="3" t="n">
        <v>22.13</v>
      </c>
    </row>
    <row r="17">
      <c r="A17" s="3" t="n">
        <v>2</v>
      </c>
      <c r="B17" s="3" t="inlineStr">
        <is>
          <t>Kinshasa</t>
        </is>
      </c>
      <c r="C17" s="3" t="n">
        <v>2157267</v>
      </c>
      <c r="D17" s="3" t="n">
        <v>17.37</v>
      </c>
    </row>
    <row r="18">
      <c r="A18" s="3" t="n">
        <v>3</v>
      </c>
      <c r="B18" s="3" t="inlineStr">
        <is>
          <t>Ituri</t>
        </is>
      </c>
      <c r="C18" s="3" t="n">
        <v>917322</v>
      </c>
      <c r="D18" s="3" t="n">
        <v>7.39</v>
      </c>
    </row>
    <row r="19">
      <c r="A19" s="3" t="n">
        <v>4</v>
      </c>
      <c r="B19" s="3" t="inlineStr">
        <is>
          <t>Sud Kivu</t>
        </is>
      </c>
      <c r="C19" s="3" t="n">
        <v>849096</v>
      </c>
      <c r="D19" s="3" t="n">
        <v>6.84</v>
      </c>
    </row>
    <row r="20">
      <c r="A20" s="3" t="n">
        <v>5</v>
      </c>
      <c r="B20" s="3" t="inlineStr">
        <is>
          <t>Nord-Kivu</t>
        </is>
      </c>
      <c r="C20" s="3" t="n">
        <v>695955</v>
      </c>
      <c r="D20" s="3" t="n">
        <v>5.6</v>
      </c>
    </row>
    <row r="21">
      <c r="A21" s="3" t="n">
        <v>6</v>
      </c>
      <c r="B21" s="3" t="inlineStr">
        <is>
          <t>Haut-Lomami</t>
        </is>
      </c>
      <c r="C21" s="3" t="n">
        <v>574700</v>
      </c>
      <c r="D21" s="3" t="n">
        <v>4.63</v>
      </c>
    </row>
    <row r="22">
      <c r="A22" s="3" t="n">
        <v>7</v>
      </c>
      <c r="B22" s="3" t="inlineStr">
        <is>
          <t>Kwilu</t>
        </is>
      </c>
      <c r="C22" s="3" t="n">
        <v>521908</v>
      </c>
      <c r="D22" s="3" t="n">
        <v>4.2</v>
      </c>
    </row>
    <row r="23">
      <c r="A23" s="3" t="n">
        <v>8</v>
      </c>
      <c r="B23" s="3" t="inlineStr">
        <is>
          <t>Kongo-Central</t>
        </is>
      </c>
      <c r="C23" s="3" t="n">
        <v>436409</v>
      </c>
      <c r="D23" s="3" t="n">
        <v>3.51</v>
      </c>
    </row>
    <row r="24">
      <c r="A24" s="3" t="n">
        <v>9</v>
      </c>
      <c r="B24" s="3" t="inlineStr">
        <is>
          <t>Nord-Ubangi</t>
        </is>
      </c>
      <c r="C24" s="3" t="n">
        <v>428042</v>
      </c>
      <c r="D24" s="3" t="n">
        <v>3.45</v>
      </c>
    </row>
    <row r="25">
      <c r="A25" s="3" t="n">
        <v>10</v>
      </c>
      <c r="B25" s="3" t="inlineStr">
        <is>
          <t>Kwango</t>
        </is>
      </c>
      <c r="C25" s="3" t="n">
        <v>357852</v>
      </c>
      <c r="D25" s="3" t="n">
        <v>2.88</v>
      </c>
    </row>
    <row r="26">
      <c r="A26" s="3" t="n">
        <v>11</v>
      </c>
      <c r="B26" s="3" t="inlineStr">
        <is>
          <t>Tanganyika</t>
        </is>
      </c>
      <c r="C26" s="3" t="n">
        <v>296438</v>
      </c>
      <c r="D26" s="3" t="n">
        <v>2.39</v>
      </c>
    </row>
    <row r="27">
      <c r="A27" s="3" t="n">
        <v>12</v>
      </c>
      <c r="B27" s="3" t="inlineStr">
        <is>
          <t>Mongala</t>
        </is>
      </c>
      <c r="C27" s="3" t="n">
        <v>289485</v>
      </c>
      <c r="D27" s="3" t="n">
        <v>2.33</v>
      </c>
    </row>
    <row r="28">
      <c r="A28" s="3" t="n">
        <v>13</v>
      </c>
      <c r="B28" s="3" t="inlineStr">
        <is>
          <t>Lualaba</t>
        </is>
      </c>
      <c r="C28" s="3" t="n">
        <v>283675</v>
      </c>
      <c r="D28" s="3" t="n">
        <v>2.28</v>
      </c>
    </row>
    <row r="29">
      <c r="A29" s="3" t="n">
        <v>14</v>
      </c>
      <c r="B29" s="3" t="inlineStr">
        <is>
          <t>Sud-Ubangi</t>
        </is>
      </c>
      <c r="C29" s="3" t="n">
        <v>236314</v>
      </c>
      <c r="D29" s="3" t="n">
        <v>1.9</v>
      </c>
    </row>
    <row r="30">
      <c r="A30" s="3" t="n">
        <v>15</v>
      </c>
      <c r="B30" s="3" t="inlineStr">
        <is>
          <t>Kasaï-Oriental</t>
        </is>
      </c>
      <c r="C30" s="3" t="n">
        <v>216401</v>
      </c>
      <c r="D30" s="3" t="n">
        <v>1.74</v>
      </c>
    </row>
    <row r="31">
      <c r="A31" s="3" t="n">
        <v>16</v>
      </c>
      <c r="B31" s="3" t="inlineStr">
        <is>
          <t>Lomami</t>
        </is>
      </c>
      <c r="C31" s="3" t="n">
        <v>215526</v>
      </c>
      <c r="D31" s="3" t="n">
        <v>1.74</v>
      </c>
    </row>
    <row r="32">
      <c r="A32" s="3" t="n">
        <v>17</v>
      </c>
      <c r="B32" s="3" t="inlineStr">
        <is>
          <t>Maniema</t>
        </is>
      </c>
      <c r="C32" s="3" t="n">
        <v>192688</v>
      </c>
      <c r="D32" s="3" t="n">
        <v>1.55</v>
      </c>
    </row>
    <row r="33">
      <c r="A33" s="3" t="n">
        <v>18</v>
      </c>
      <c r="B33" s="3" t="inlineStr">
        <is>
          <t>Bas-Uele</t>
        </is>
      </c>
      <c r="C33" s="3" t="n">
        <v>178732</v>
      </c>
      <c r="D33" s="3" t="n">
        <v>1.44</v>
      </c>
    </row>
    <row r="34">
      <c r="A34" s="3" t="n">
        <v>19</v>
      </c>
      <c r="B34" s="3" t="inlineStr">
        <is>
          <t>Mai-Ndombe</t>
        </is>
      </c>
      <c r="C34" s="3" t="n">
        <v>153604</v>
      </c>
      <c r="D34" s="3" t="n">
        <v>1.24</v>
      </c>
    </row>
    <row r="35">
      <c r="A35" s="3" t="n">
        <v>20</v>
      </c>
      <c r="B35" s="3" t="inlineStr">
        <is>
          <t>Haut-Uele</t>
        </is>
      </c>
      <c r="C35" s="3" t="n">
        <v>145898</v>
      </c>
      <c r="D35" s="3" t="n">
        <v>1.17</v>
      </c>
    </row>
    <row r="36">
      <c r="A36" s="3" t="n">
        <v>21</v>
      </c>
      <c r="B36" s="3" t="inlineStr">
        <is>
          <t>Kasaï</t>
        </is>
      </c>
      <c r="C36" s="3" t="n">
        <v>127615</v>
      </c>
      <c r="D36" s="3" t="n">
        <v>1.03</v>
      </c>
    </row>
    <row r="37">
      <c r="A37" s="3" t="n">
        <v>22</v>
      </c>
      <c r="B37" s="3" t="inlineStr">
        <is>
          <t>Sankuru</t>
        </is>
      </c>
      <c r="C37" s="3" t="n">
        <v>121096</v>
      </c>
      <c r="D37" s="3" t="n">
        <v>0.98</v>
      </c>
    </row>
    <row r="38">
      <c r="A38" s="3" t="n">
        <v>23</v>
      </c>
      <c r="B38" s="3" t="inlineStr">
        <is>
          <t>Kasaï-Central</t>
        </is>
      </c>
      <c r="C38" s="3" t="n">
        <v>93410</v>
      </c>
      <c r="D38" s="3" t="n">
        <v>0.75</v>
      </c>
    </row>
    <row r="39">
      <c r="A39" s="3" t="n">
        <v>24</v>
      </c>
      <c r="B39" s="3" t="inlineStr">
        <is>
          <t>Équateur</t>
        </is>
      </c>
      <c r="C39" s="3" t="n">
        <v>86994</v>
      </c>
      <c r="D39" s="3" t="n">
        <v>0.7</v>
      </c>
    </row>
    <row r="40">
      <c r="A40" s="3" t="n">
        <v>25</v>
      </c>
      <c r="B40" s="3" t="inlineStr">
        <is>
          <t>Tshopo</t>
        </is>
      </c>
      <c r="C40" s="3" t="n">
        <v>75315</v>
      </c>
      <c r="D40" s="3" t="n">
        <v>0.61</v>
      </c>
    </row>
    <row r="41">
      <c r="A41" s="3" t="n">
        <v>26</v>
      </c>
      <c r="B41" s="3" t="inlineStr">
        <is>
          <t>Tshuapa</t>
        </is>
      </c>
      <c r="C41" s="3" t="n">
        <v>20145</v>
      </c>
      <c r="D41" s="3" t="n">
        <v>0.16</v>
      </c>
    </row>
    <row r="44">
      <c r="A44" s="15" t="inlineStr">
        <is>
          <t>Analyse par Trimestre</t>
        </is>
      </c>
    </row>
    <row r="45">
      <c r="A45" s="11" t="inlineStr">
        <is>
          <t>Trimestre</t>
        </is>
      </c>
      <c r="B45" s="11" t="inlineStr">
        <is>
          <t>Valeur</t>
        </is>
      </c>
      <c r="C45" s="11" t="inlineStr">
        <is>
          <t>% du Total</t>
        </is>
      </c>
    </row>
    <row r="46">
      <c r="A46" s="3" t="inlineStr">
        <is>
          <t>T1</t>
        </is>
      </c>
      <c r="B46" s="3" t="n">
        <v>3584343</v>
      </c>
      <c r="C46" s="3" t="n">
        <v>28.86</v>
      </c>
    </row>
    <row r="47">
      <c r="A47" s="3" t="inlineStr">
        <is>
          <t>T2</t>
        </is>
      </c>
      <c r="B47" s="3" t="n">
        <v>3083459</v>
      </c>
      <c r="C47" s="3" t="n">
        <v>24.83</v>
      </c>
    </row>
    <row r="48">
      <c r="A48" s="3" t="inlineStr">
        <is>
          <t>T3</t>
        </is>
      </c>
      <c r="B48" s="3" t="n">
        <v>2416888</v>
      </c>
      <c r="C48" s="3" t="n">
        <v>19.46</v>
      </c>
    </row>
    <row r="49">
      <c r="A49" s="3" t="inlineStr">
        <is>
          <t>T4</t>
        </is>
      </c>
      <c r="B49" s="3" t="n">
        <v>3335100</v>
      </c>
      <c r="C49" s="3" t="n">
        <v>26.85</v>
      </c>
    </row>
    <row r="52">
      <c r="A52" s="15" t="inlineStr">
        <is>
          <t>Analyse par Sexe</t>
        </is>
      </c>
    </row>
    <row r="53">
      <c r="A53" s="11" t="inlineStr">
        <is>
          <t>Sexe</t>
        </is>
      </c>
      <c r="B53" s="11" t="inlineStr">
        <is>
          <t>Valeur</t>
        </is>
      </c>
      <c r="C53" s="11" t="inlineStr">
        <is>
          <t>% du Total</t>
        </is>
      </c>
    </row>
    <row r="54">
      <c r="A54" s="3" t="inlineStr">
        <is>
          <t>Féminin</t>
        </is>
      </c>
      <c r="B54" s="3" t="n">
        <v>8176282</v>
      </c>
      <c r="C54" s="3" t="n">
        <v>65.83</v>
      </c>
    </row>
    <row r="55">
      <c r="A55" s="3" t="inlineStr">
        <is>
          <t>Masculin</t>
        </is>
      </c>
      <c r="B55" s="3" t="n">
        <v>4243508</v>
      </c>
      <c r="C55" s="3" t="n">
        <v>34.17</v>
      </c>
    </row>
    <row r="58">
      <c r="A58" s="15" t="inlineStr">
        <is>
          <t>Analyse par Tranche d'Âge</t>
        </is>
      </c>
    </row>
    <row r="59">
      <c r="A59" s="11" t="inlineStr">
        <is>
          <t>Tranche d'Âge</t>
        </is>
      </c>
      <c r="B59" s="11" t="inlineStr">
        <is>
          <t>Valeur</t>
        </is>
      </c>
      <c r="C59" s="11" t="inlineStr">
        <is>
          <t>% du Total</t>
        </is>
      </c>
    </row>
    <row r="60">
      <c r="A60" s="3" t="inlineStr">
        <is>
          <t>10 à 14 ans</t>
        </is>
      </c>
      <c r="B60" s="3" t="n">
        <v>17867</v>
      </c>
      <c r="C60" s="3" t="n">
        <v>0.14</v>
      </c>
    </row>
    <row r="61">
      <c r="A61" s="3" t="inlineStr">
        <is>
          <t>15 à 19 ans</t>
        </is>
      </c>
      <c r="B61" s="3" t="n">
        <v>73764</v>
      </c>
      <c r="C61" s="3" t="n">
        <v>0.59</v>
      </c>
    </row>
    <row r="62">
      <c r="A62" s="3" t="inlineStr">
        <is>
          <t>20 à 24 ans</t>
        </is>
      </c>
      <c r="B62" s="3" t="n">
        <v>600499</v>
      </c>
      <c r="C62" s="3" t="n">
        <v>4.84</v>
      </c>
    </row>
    <row r="63">
      <c r="A63" s="3" t="inlineStr">
        <is>
          <t>25 à 49 ans</t>
        </is>
      </c>
      <c r="B63" s="3" t="n">
        <v>509087</v>
      </c>
      <c r="C63" s="3" t="n">
        <v>4.1</v>
      </c>
    </row>
    <row r="64">
      <c r="A64" s="3" t="inlineStr">
        <is>
          <t>&lt; 10 ans</t>
        </is>
      </c>
      <c r="B64" s="3" t="n">
        <v>877</v>
      </c>
      <c r="C64" s="3" t="n">
        <v>0.01</v>
      </c>
    </row>
    <row r="65">
      <c r="A65" s="3" t="inlineStr">
        <is>
          <t>&lt; 15 ans</t>
        </is>
      </c>
      <c r="B65" s="3" t="n">
        <v>1266406</v>
      </c>
      <c r="C65" s="3" t="n">
        <v>10.2</v>
      </c>
    </row>
    <row r="66">
      <c r="A66" s="3" t="inlineStr">
        <is>
          <t>&gt;= 15 ans</t>
        </is>
      </c>
      <c r="B66" s="3" t="n">
        <v>9776991</v>
      </c>
      <c r="C66" s="3" t="n">
        <v>78.72</v>
      </c>
    </row>
    <row r="67">
      <c r="A67" s="3" t="inlineStr">
        <is>
          <t>&gt;= 50 ans</t>
        </is>
      </c>
      <c r="B67" s="3" t="n">
        <v>174299</v>
      </c>
      <c r="C67" s="3" t="n">
        <v>1.4</v>
      </c>
    </row>
    <row r="70">
      <c r="A70" s="15" t="inlineStr">
        <is>
          <t>Tableau Croisé: Province × Année</t>
        </is>
      </c>
    </row>
    <row r="71">
      <c r="A71" s="11" t="inlineStr">
        <is>
          <t>provinces</t>
        </is>
      </c>
      <c r="B71" s="11" t="inlineStr">
        <is>
          <t>2020</t>
        </is>
      </c>
      <c r="C71" s="11" t="inlineStr">
        <is>
          <t>2021</t>
        </is>
      </c>
      <c r="D71" s="11" t="inlineStr">
        <is>
          <t>2022</t>
        </is>
      </c>
      <c r="E71" s="11" t="inlineStr">
        <is>
          <t>2023</t>
        </is>
      </c>
      <c r="F71" s="11" t="inlineStr">
        <is>
          <t>2024</t>
        </is>
      </c>
      <c r="G71" s="11" t="inlineStr">
        <is>
          <t>TOTAL</t>
        </is>
      </c>
    </row>
    <row r="72">
      <c r="A72" s="3" t="inlineStr">
        <is>
          <t>Haut-Katanga</t>
        </is>
      </c>
      <c r="B72" s="3" t="n">
        <v>536954</v>
      </c>
      <c r="C72" s="3" t="n">
        <v>596218</v>
      </c>
      <c r="D72" s="3" t="n">
        <v>947187</v>
      </c>
      <c r="E72" s="3" t="n">
        <v>437083</v>
      </c>
      <c r="F72" s="3" t="n">
        <v>230461</v>
      </c>
      <c r="G72" s="3" t="n">
        <v>2747903</v>
      </c>
    </row>
    <row r="73">
      <c r="A73" s="3" t="inlineStr">
        <is>
          <t>Kinshasa</t>
        </is>
      </c>
      <c r="B73" s="3" t="n">
        <v>535640</v>
      </c>
      <c r="C73" s="3" t="n">
        <v>540560</v>
      </c>
      <c r="D73" s="3" t="n">
        <v>552422</v>
      </c>
      <c r="E73" s="3" t="n">
        <v>528645</v>
      </c>
      <c r="F73" s="3" t="n">
        <v>0</v>
      </c>
      <c r="G73" s="3" t="n">
        <v>2157267</v>
      </c>
    </row>
    <row r="74">
      <c r="A74" s="3" t="inlineStr">
        <is>
          <t>Ituri</t>
        </is>
      </c>
      <c r="B74" s="3" t="n">
        <v>188324</v>
      </c>
      <c r="C74" s="3" t="n">
        <v>423907</v>
      </c>
      <c r="D74" s="3" t="n">
        <v>91446</v>
      </c>
      <c r="E74" s="3" t="n">
        <v>108156</v>
      </c>
      <c r="F74" s="3" t="n">
        <v>105489</v>
      </c>
      <c r="G74" s="3" t="n">
        <v>917322</v>
      </c>
    </row>
    <row r="75">
      <c r="A75" s="3" t="inlineStr">
        <is>
          <t>Sud Kivu</t>
        </is>
      </c>
      <c r="B75" s="3" t="n">
        <v>153345</v>
      </c>
      <c r="C75" s="3" t="n">
        <v>153626</v>
      </c>
      <c r="D75" s="3" t="n">
        <v>82283</v>
      </c>
      <c r="E75" s="3" t="n">
        <v>238472</v>
      </c>
      <c r="F75" s="3" t="n">
        <v>221370</v>
      </c>
      <c r="G75" s="3" t="n">
        <v>849096</v>
      </c>
    </row>
    <row r="76">
      <c r="A76" s="3" t="inlineStr">
        <is>
          <t>Nord-Kivu</t>
        </is>
      </c>
      <c r="B76" s="3" t="n">
        <v>30049</v>
      </c>
      <c r="C76" s="3" t="n">
        <v>36350</v>
      </c>
      <c r="D76" s="3" t="n">
        <v>242609</v>
      </c>
      <c r="E76" s="3" t="n">
        <v>361086</v>
      </c>
      <c r="F76" s="3" t="n">
        <v>25861</v>
      </c>
      <c r="G76" s="3" t="n">
        <v>695955</v>
      </c>
    </row>
    <row r="77">
      <c r="A77" s="3" t="inlineStr">
        <is>
          <t>Haut-Lomami</t>
        </is>
      </c>
      <c r="B77" s="3" t="n">
        <v>140822</v>
      </c>
      <c r="C77" s="3" t="n">
        <v>256954</v>
      </c>
      <c r="D77" s="3" t="n">
        <v>42495</v>
      </c>
      <c r="E77" s="3" t="n">
        <v>88890</v>
      </c>
      <c r="F77" s="3" t="n">
        <v>45539</v>
      </c>
      <c r="G77" s="3" t="n">
        <v>574700</v>
      </c>
    </row>
    <row r="78">
      <c r="A78" s="3" t="inlineStr">
        <is>
          <t>Kwilu</t>
        </is>
      </c>
      <c r="B78" s="3" t="n">
        <v>103915</v>
      </c>
      <c r="C78" s="3" t="n">
        <v>100933</v>
      </c>
      <c r="D78" s="3" t="n">
        <v>107632</v>
      </c>
      <c r="E78" s="3" t="n">
        <v>54427</v>
      </c>
      <c r="F78" s="3" t="n">
        <v>155001</v>
      </c>
      <c r="G78" s="3" t="n">
        <v>521908</v>
      </c>
    </row>
    <row r="79">
      <c r="A79" s="3" t="inlineStr">
        <is>
          <t>Kongo-Central</t>
        </is>
      </c>
      <c r="B79" s="3" t="n">
        <v>122117</v>
      </c>
      <c r="C79" s="3" t="n">
        <v>66270</v>
      </c>
      <c r="D79" s="3" t="n">
        <v>47040</v>
      </c>
      <c r="E79" s="3" t="n">
        <v>30119</v>
      </c>
      <c r="F79" s="3" t="n">
        <v>170863</v>
      </c>
      <c r="G79" s="3" t="n">
        <v>436409</v>
      </c>
    </row>
    <row r="80">
      <c r="A80" s="3" t="inlineStr">
        <is>
          <t>Nord-Ubangi</t>
        </is>
      </c>
      <c r="B80" s="3" t="n">
        <v>7487</v>
      </c>
      <c r="C80" s="3" t="n">
        <v>51494</v>
      </c>
      <c r="D80" s="3" t="n">
        <v>2517</v>
      </c>
      <c r="E80" s="3" t="n">
        <v>21521</v>
      </c>
      <c r="F80" s="3" t="n">
        <v>345023</v>
      </c>
      <c r="G80" s="3" t="n">
        <v>428042</v>
      </c>
    </row>
    <row r="81">
      <c r="A81" s="3" t="inlineStr">
        <is>
          <t>Kwango</t>
        </is>
      </c>
      <c r="B81" s="3" t="n">
        <v>137554</v>
      </c>
      <c r="C81" s="3" t="n">
        <v>79790</v>
      </c>
      <c r="D81" s="3" t="n">
        <v>70607</v>
      </c>
      <c r="E81" s="3" t="n">
        <v>23330</v>
      </c>
      <c r="F81" s="3" t="n">
        <v>46571</v>
      </c>
      <c r="G81" s="3" t="n">
        <v>357852</v>
      </c>
    </row>
    <row r="82">
      <c r="A82" s="3" t="inlineStr">
        <is>
          <t>Tanganyika</t>
        </is>
      </c>
      <c r="B82" s="3" t="n">
        <v>79920</v>
      </c>
      <c r="C82" s="3" t="n">
        <v>54809</v>
      </c>
      <c r="D82" s="3" t="n">
        <v>147503</v>
      </c>
      <c r="E82" s="3" t="n">
        <v>12720</v>
      </c>
      <c r="F82" s="3" t="n">
        <v>1486</v>
      </c>
      <c r="G82" s="3" t="n">
        <v>296438</v>
      </c>
    </row>
    <row r="83">
      <c r="A83" s="3" t="inlineStr">
        <is>
          <t>Mongala</t>
        </is>
      </c>
      <c r="B83" s="3" t="n">
        <v>110154</v>
      </c>
      <c r="C83" s="3" t="n">
        <v>71633</v>
      </c>
      <c r="D83" s="3" t="n">
        <v>2749</v>
      </c>
      <c r="E83" s="3" t="n">
        <v>94762</v>
      </c>
      <c r="F83" s="3" t="n">
        <v>10187</v>
      </c>
      <c r="G83" s="3" t="n">
        <v>289485</v>
      </c>
    </row>
    <row r="84">
      <c r="A84" s="3" t="inlineStr">
        <is>
          <t>Lualaba</t>
        </is>
      </c>
      <c r="B84" s="3" t="n">
        <v>5170</v>
      </c>
      <c r="C84" s="3" t="n">
        <v>34642</v>
      </c>
      <c r="D84" s="3" t="n">
        <v>0</v>
      </c>
      <c r="E84" s="3" t="n">
        <v>111137</v>
      </c>
      <c r="F84" s="3" t="n">
        <v>132726</v>
      </c>
      <c r="G84" s="3" t="n">
        <v>283675</v>
      </c>
    </row>
    <row r="85">
      <c r="A85" s="3" t="inlineStr">
        <is>
          <t>Sud-Ubangi</t>
        </is>
      </c>
      <c r="B85" s="3" t="n">
        <v>4118</v>
      </c>
      <c r="C85" s="3" t="n">
        <v>210781</v>
      </c>
      <c r="D85" s="3" t="n">
        <v>2806</v>
      </c>
      <c r="E85" s="3" t="n">
        <v>11542</v>
      </c>
      <c r="F85" s="3" t="n">
        <v>7067</v>
      </c>
      <c r="G85" s="3" t="n">
        <v>236314</v>
      </c>
    </row>
    <row r="86">
      <c r="A86" s="3" t="inlineStr">
        <is>
          <t>Kasaï-Oriental</t>
        </is>
      </c>
      <c r="B86" s="3" t="n">
        <v>47894</v>
      </c>
      <c r="C86" s="3" t="n">
        <v>27377</v>
      </c>
      <c r="D86" s="3" t="n">
        <v>24314</v>
      </c>
      <c r="E86" s="3" t="n">
        <v>43196</v>
      </c>
      <c r="F86" s="3" t="n">
        <v>73620</v>
      </c>
      <c r="G86" s="3" t="n">
        <v>216401</v>
      </c>
    </row>
    <row r="87">
      <c r="A87" s="3" t="inlineStr">
        <is>
          <t>Lomami</t>
        </is>
      </c>
      <c r="B87" s="3" t="n">
        <v>6525</v>
      </c>
      <c r="C87" s="3" t="n">
        <v>6793</v>
      </c>
      <c r="D87" s="3" t="n">
        <v>0</v>
      </c>
      <c r="E87" s="3" t="n">
        <v>99379</v>
      </c>
      <c r="F87" s="3" t="n">
        <v>102829</v>
      </c>
      <c r="G87" s="3" t="n">
        <v>215526</v>
      </c>
    </row>
    <row r="88">
      <c r="A88" s="3" t="inlineStr">
        <is>
          <t>Maniema</t>
        </is>
      </c>
      <c r="B88" s="3" t="n">
        <v>98</v>
      </c>
      <c r="C88" s="3" t="n">
        <v>1407</v>
      </c>
      <c r="D88" s="3" t="n">
        <v>78897</v>
      </c>
      <c r="E88" s="3" t="n">
        <v>23106</v>
      </c>
      <c r="F88" s="3" t="n">
        <v>89180</v>
      </c>
      <c r="G88" s="3" t="n">
        <v>192688</v>
      </c>
    </row>
    <row r="89">
      <c r="A89" s="3" t="inlineStr">
        <is>
          <t>Bas-Uele</t>
        </is>
      </c>
      <c r="B89" s="3" t="n">
        <v>0</v>
      </c>
      <c r="C89" s="3" t="n">
        <v>138547</v>
      </c>
      <c r="D89" s="3" t="n">
        <v>13576</v>
      </c>
      <c r="E89" s="3" t="n">
        <v>16405</v>
      </c>
      <c r="F89" s="3" t="n">
        <v>10204</v>
      </c>
      <c r="G89" s="3" t="n">
        <v>178732</v>
      </c>
    </row>
    <row r="90">
      <c r="A90" s="3" t="inlineStr">
        <is>
          <t>Mai-Ndombe</t>
        </is>
      </c>
      <c r="B90" s="3" t="n">
        <v>26210</v>
      </c>
      <c r="C90" s="3" t="n">
        <v>2347</v>
      </c>
      <c r="D90" s="3" t="n">
        <v>49784</v>
      </c>
      <c r="E90" s="3" t="n">
        <v>34611</v>
      </c>
      <c r="F90" s="3" t="n">
        <v>40652</v>
      </c>
      <c r="G90" s="3" t="n">
        <v>153604</v>
      </c>
    </row>
    <row r="91">
      <c r="A91" s="3" t="inlineStr">
        <is>
          <t>Haut-Uele</t>
        </is>
      </c>
      <c r="B91" s="3" t="n">
        <v>38151</v>
      </c>
      <c r="C91" s="3" t="n">
        <v>1776</v>
      </c>
      <c r="D91" s="3" t="n">
        <v>20024</v>
      </c>
      <c r="E91" s="3" t="n">
        <v>27655</v>
      </c>
      <c r="F91" s="3" t="n">
        <v>58292</v>
      </c>
      <c r="G91" s="3" t="n">
        <v>145898</v>
      </c>
    </row>
    <row r="92">
      <c r="A92" s="3" t="inlineStr">
        <is>
          <t>Kasaï</t>
        </is>
      </c>
      <c r="B92" s="3" t="n">
        <v>13610</v>
      </c>
      <c r="C92" s="3" t="n">
        <v>9712</v>
      </c>
      <c r="D92" s="3" t="n">
        <v>0</v>
      </c>
      <c r="E92" s="3" t="n">
        <v>43123</v>
      </c>
      <c r="F92" s="3" t="n">
        <v>61170</v>
      </c>
      <c r="G92" s="3" t="n">
        <v>127615</v>
      </c>
    </row>
    <row r="93">
      <c r="A93" s="3" t="inlineStr">
        <is>
          <t>Sankuru</t>
        </is>
      </c>
      <c r="B93" s="3" t="n">
        <v>1779</v>
      </c>
      <c r="C93" s="3" t="n">
        <v>14289</v>
      </c>
      <c r="D93" s="3" t="n">
        <v>16556</v>
      </c>
      <c r="E93" s="3" t="n">
        <v>18941</v>
      </c>
      <c r="F93" s="3" t="n">
        <v>69531</v>
      </c>
      <c r="G93" s="3" t="n">
        <v>121096</v>
      </c>
    </row>
    <row r="94">
      <c r="A94" s="3" t="inlineStr">
        <is>
          <t>Kasaï-Central</t>
        </is>
      </c>
      <c r="B94" s="3" t="n">
        <v>0</v>
      </c>
      <c r="C94" s="3" t="n">
        <v>0</v>
      </c>
      <c r="D94" s="3" t="n">
        <v>0</v>
      </c>
      <c r="E94" s="3" t="n">
        <v>43037</v>
      </c>
      <c r="F94" s="3" t="n">
        <v>50373</v>
      </c>
      <c r="G94" s="3" t="n">
        <v>93410</v>
      </c>
    </row>
    <row r="95">
      <c r="A95" s="3" t="inlineStr">
        <is>
          <t>Équateur</t>
        </is>
      </c>
      <c r="B95" s="3" t="n">
        <v>28468</v>
      </c>
      <c r="C95" s="3" t="n">
        <v>9682</v>
      </c>
      <c r="D95" s="3" t="n">
        <v>0</v>
      </c>
      <c r="E95" s="3" t="n">
        <v>38058</v>
      </c>
      <c r="F95" s="3" t="n">
        <v>10786</v>
      </c>
      <c r="G95" s="3" t="n">
        <v>86994</v>
      </c>
    </row>
    <row r="96">
      <c r="A96" s="3" t="inlineStr">
        <is>
          <t>Tshopo</t>
        </is>
      </c>
      <c r="B96" s="3" t="n">
        <v>0</v>
      </c>
      <c r="C96" s="3" t="n">
        <v>0</v>
      </c>
      <c r="D96" s="3" t="n">
        <v>0</v>
      </c>
      <c r="E96" s="3" t="n">
        <v>60440</v>
      </c>
      <c r="F96" s="3" t="n">
        <v>14875</v>
      </c>
      <c r="G96" s="3" t="n">
        <v>75315</v>
      </c>
    </row>
    <row r="97">
      <c r="A97" s="3" t="inlineStr">
        <is>
          <t>Tshuapa</t>
        </is>
      </c>
      <c r="B97" s="3" t="n">
        <v>0</v>
      </c>
      <c r="C97" s="3" t="n">
        <v>18148</v>
      </c>
      <c r="D97" s="3" t="n">
        <v>0</v>
      </c>
      <c r="E97" s="3" t="n">
        <v>0</v>
      </c>
      <c r="F97" s="3" t="n">
        <v>1997</v>
      </c>
      <c r="G97" s="3" t="n">
        <v>20145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5" customWidth="1" min="3" max="3"/>
    <col width="12" customWidth="1" min="4" max="4"/>
  </cols>
  <sheetData>
    <row r="1">
      <c r="A1" s="12" t="inlineStr">
        <is>
          <t>ANALYSE: Nombre de clients diagnostiqués VIH+</t>
        </is>
      </c>
    </row>
    <row r="3">
      <c r="A3" s="13" t="inlineStr">
        <is>
          <t>TOTAL</t>
        </is>
      </c>
      <c r="B3" s="14" t="n">
        <v>557343</v>
      </c>
    </row>
    <row r="5">
      <c r="A5" s="15" t="inlineStr">
        <is>
          <t>Analyse par Année</t>
        </is>
      </c>
    </row>
    <row r="6">
      <c r="A6" s="11" t="inlineStr">
        <is>
          <t>Année</t>
        </is>
      </c>
      <c r="B6" s="11" t="inlineStr">
        <is>
          <t>Valeur</t>
        </is>
      </c>
      <c r="C6" s="11" t="inlineStr">
        <is>
          <t>Croissance (%)</t>
        </is>
      </c>
    </row>
    <row r="7">
      <c r="A7" s="3" t="n">
        <v>2020</v>
      </c>
      <c r="B7" s="3" t="n">
        <v>160302</v>
      </c>
      <c r="C7" s="3" t="n">
        <v>0</v>
      </c>
    </row>
    <row r="8">
      <c r="A8" s="3" t="n">
        <v>2021</v>
      </c>
      <c r="B8" s="3" t="n">
        <v>139421</v>
      </c>
      <c r="C8" s="3" t="n">
        <v>-13.03</v>
      </c>
    </row>
    <row r="9">
      <c r="A9" s="3" t="n">
        <v>2022</v>
      </c>
      <c r="B9" s="3" t="n">
        <v>125980</v>
      </c>
      <c r="C9" s="3" t="n">
        <v>-9.640000000000001</v>
      </c>
    </row>
    <row r="10">
      <c r="A10" s="3" t="n">
        <v>2023</v>
      </c>
      <c r="B10" s="3" t="n">
        <v>87153</v>
      </c>
      <c r="C10" s="3" t="n">
        <v>-30.82</v>
      </c>
    </row>
    <row r="11">
      <c r="A11" s="3" t="n">
        <v>2024</v>
      </c>
      <c r="B11" s="3" t="n">
        <v>44487</v>
      </c>
      <c r="C11" s="3" t="n">
        <v>-48.96</v>
      </c>
    </row>
    <row r="14">
      <c r="A14" s="15" t="inlineStr">
        <is>
          <t>Analyse par Province</t>
        </is>
      </c>
    </row>
    <row r="15">
      <c r="A15" s="11" t="inlineStr">
        <is>
          <t>Rang</t>
        </is>
      </c>
      <c r="B15" s="11" t="inlineStr">
        <is>
          <t>Province</t>
        </is>
      </c>
      <c r="C15" s="11" t="inlineStr">
        <is>
          <t>Valeur</t>
        </is>
      </c>
      <c r="D15" s="11" t="inlineStr">
        <is>
          <t>% du Total</t>
        </is>
      </c>
    </row>
    <row r="16">
      <c r="A16" s="3" t="n">
        <v>1</v>
      </c>
      <c r="B16" s="3" t="inlineStr">
        <is>
          <t>Haut-Katanga</t>
        </is>
      </c>
      <c r="C16" s="3" t="n">
        <v>178676</v>
      </c>
      <c r="D16" s="3" t="n">
        <v>32.06</v>
      </c>
    </row>
    <row r="17">
      <c r="A17" s="3" t="n">
        <v>2</v>
      </c>
      <c r="B17" s="3" t="inlineStr">
        <is>
          <t>Kinshasa</t>
        </is>
      </c>
      <c r="C17" s="3" t="n">
        <v>153660</v>
      </c>
      <c r="D17" s="3" t="n">
        <v>27.57</v>
      </c>
    </row>
    <row r="18">
      <c r="A18" s="3" t="n">
        <v>3</v>
      </c>
      <c r="B18" s="3" t="inlineStr">
        <is>
          <t>Ituri</t>
        </is>
      </c>
      <c r="C18" s="3" t="n">
        <v>56343</v>
      </c>
      <c r="D18" s="3" t="n">
        <v>10.11</v>
      </c>
    </row>
    <row r="19">
      <c r="A19" s="3" t="n">
        <v>4</v>
      </c>
      <c r="B19" s="3" t="inlineStr">
        <is>
          <t>Tshuapa</t>
        </is>
      </c>
      <c r="C19" s="3" t="n">
        <v>27693</v>
      </c>
      <c r="D19" s="3" t="n">
        <v>4.97</v>
      </c>
    </row>
    <row r="20">
      <c r="A20" s="3" t="n">
        <v>5</v>
      </c>
      <c r="B20" s="3" t="inlineStr">
        <is>
          <t>Haut-Uele</t>
        </is>
      </c>
      <c r="C20" s="3" t="n">
        <v>25189</v>
      </c>
      <c r="D20" s="3" t="n">
        <v>4.52</v>
      </c>
    </row>
    <row r="21">
      <c r="A21" s="3" t="n">
        <v>6</v>
      </c>
      <c r="B21" s="3" t="inlineStr">
        <is>
          <t>Sud Kivu</t>
        </is>
      </c>
      <c r="C21" s="3" t="n">
        <v>17076</v>
      </c>
      <c r="D21" s="3" t="n">
        <v>3.06</v>
      </c>
    </row>
    <row r="22">
      <c r="A22" s="3" t="n">
        <v>7</v>
      </c>
      <c r="B22" s="3" t="inlineStr">
        <is>
          <t>Nord-Kivu</t>
        </is>
      </c>
      <c r="C22" s="3" t="n">
        <v>14021</v>
      </c>
      <c r="D22" s="3" t="n">
        <v>2.52</v>
      </c>
    </row>
    <row r="23">
      <c r="A23" s="3" t="n">
        <v>8</v>
      </c>
      <c r="B23" s="3" t="inlineStr">
        <is>
          <t>Lualaba</t>
        </is>
      </c>
      <c r="C23" s="3" t="n">
        <v>13941</v>
      </c>
      <c r="D23" s="3" t="n">
        <v>2.5</v>
      </c>
    </row>
    <row r="24">
      <c r="A24" s="3" t="n">
        <v>9</v>
      </c>
      <c r="B24" s="3" t="inlineStr">
        <is>
          <t>Haut-Lomami</t>
        </is>
      </c>
      <c r="C24" s="3" t="n">
        <v>8133</v>
      </c>
      <c r="D24" s="3" t="n">
        <v>1.46</v>
      </c>
    </row>
    <row r="25">
      <c r="A25" s="3" t="n">
        <v>10</v>
      </c>
      <c r="B25" s="3" t="inlineStr">
        <is>
          <t>Kongo-Central</t>
        </is>
      </c>
      <c r="C25" s="3" t="n">
        <v>7035</v>
      </c>
      <c r="D25" s="3" t="n">
        <v>1.26</v>
      </c>
    </row>
    <row r="26">
      <c r="A26" s="3" t="n">
        <v>11</v>
      </c>
      <c r="B26" s="3" t="inlineStr">
        <is>
          <t>Bas-Uele</t>
        </is>
      </c>
      <c r="C26" s="3" t="n">
        <v>6981</v>
      </c>
      <c r="D26" s="3" t="n">
        <v>1.25</v>
      </c>
    </row>
    <row r="27">
      <c r="A27" s="3" t="n">
        <v>12</v>
      </c>
      <c r="B27" s="3" t="inlineStr">
        <is>
          <t>Kasaï-Oriental</t>
        </is>
      </c>
      <c r="C27" s="3" t="n">
        <v>6508</v>
      </c>
      <c r="D27" s="3" t="n">
        <v>1.17</v>
      </c>
    </row>
    <row r="28">
      <c r="A28" s="3" t="n">
        <v>13</v>
      </c>
      <c r="B28" s="3" t="inlineStr">
        <is>
          <t>Maniema</t>
        </is>
      </c>
      <c r="C28" s="3" t="n">
        <v>6498</v>
      </c>
      <c r="D28" s="3" t="n">
        <v>1.17</v>
      </c>
    </row>
    <row r="29">
      <c r="A29" s="3" t="n">
        <v>14</v>
      </c>
      <c r="B29" s="3" t="inlineStr">
        <is>
          <t>Tshopo</t>
        </is>
      </c>
      <c r="C29" s="3" t="n">
        <v>5273</v>
      </c>
      <c r="D29" s="3" t="n">
        <v>0.95</v>
      </c>
    </row>
    <row r="30">
      <c r="A30" s="3" t="n">
        <v>15</v>
      </c>
      <c r="B30" s="3" t="inlineStr">
        <is>
          <t>Tanganyika</t>
        </is>
      </c>
      <c r="C30" s="3" t="n">
        <v>4672</v>
      </c>
      <c r="D30" s="3" t="n">
        <v>0.84</v>
      </c>
    </row>
    <row r="31">
      <c r="A31" s="3" t="n">
        <v>16</v>
      </c>
      <c r="B31" s="3" t="inlineStr">
        <is>
          <t>Mongala</t>
        </is>
      </c>
      <c r="C31" s="3" t="n">
        <v>4611</v>
      </c>
      <c r="D31" s="3" t="n">
        <v>0.83</v>
      </c>
    </row>
    <row r="32">
      <c r="A32" s="3" t="n">
        <v>17</v>
      </c>
      <c r="B32" s="3" t="inlineStr">
        <is>
          <t>Kwilu</t>
        </is>
      </c>
      <c r="C32" s="3" t="n">
        <v>4597</v>
      </c>
      <c r="D32" s="3" t="n">
        <v>0.82</v>
      </c>
    </row>
    <row r="33">
      <c r="A33" s="3" t="n">
        <v>18</v>
      </c>
      <c r="B33" s="3" t="inlineStr">
        <is>
          <t>Kasaï-Central</t>
        </is>
      </c>
      <c r="C33" s="3" t="n">
        <v>3804</v>
      </c>
      <c r="D33" s="3" t="n">
        <v>0.68</v>
      </c>
    </row>
    <row r="34">
      <c r="A34" s="3" t="n">
        <v>19</v>
      </c>
      <c r="B34" s="3" t="inlineStr">
        <is>
          <t>Kasaï</t>
        </is>
      </c>
      <c r="C34" s="3" t="n">
        <v>3132</v>
      </c>
      <c r="D34" s="3" t="n">
        <v>0.5600000000000001</v>
      </c>
    </row>
    <row r="35">
      <c r="A35" s="3" t="n">
        <v>20</v>
      </c>
      <c r="B35" s="3" t="inlineStr">
        <is>
          <t>Sankuru</t>
        </is>
      </c>
      <c r="C35" s="3" t="n">
        <v>2950</v>
      </c>
      <c r="D35" s="3" t="n">
        <v>0.53</v>
      </c>
    </row>
    <row r="36">
      <c r="A36" s="3" t="n">
        <v>21</v>
      </c>
      <c r="B36" s="3" t="inlineStr">
        <is>
          <t>Équateur</t>
        </is>
      </c>
      <c r="C36" s="3" t="n">
        <v>1415</v>
      </c>
      <c r="D36" s="3" t="n">
        <v>0.25</v>
      </c>
    </row>
    <row r="37">
      <c r="A37" s="3" t="n">
        <v>22</v>
      </c>
      <c r="B37" s="3" t="inlineStr">
        <is>
          <t>Kwango</t>
        </is>
      </c>
      <c r="C37" s="3" t="n">
        <v>1263</v>
      </c>
      <c r="D37" s="3" t="n">
        <v>0.23</v>
      </c>
    </row>
    <row r="38">
      <c r="A38" s="3" t="n">
        <v>23</v>
      </c>
      <c r="B38" s="3" t="inlineStr">
        <is>
          <t>Sud-Ubangi</t>
        </is>
      </c>
      <c r="C38" s="3" t="n">
        <v>1143</v>
      </c>
      <c r="D38" s="3" t="n">
        <v>0.21</v>
      </c>
    </row>
    <row r="39">
      <c r="A39" s="3" t="n">
        <v>24</v>
      </c>
      <c r="B39" s="3" t="inlineStr">
        <is>
          <t>Lomami</t>
        </is>
      </c>
      <c r="C39" s="3" t="n">
        <v>1098</v>
      </c>
      <c r="D39" s="3" t="n">
        <v>0.2</v>
      </c>
    </row>
    <row r="40">
      <c r="A40" s="3" t="n">
        <v>25</v>
      </c>
      <c r="B40" s="3" t="inlineStr">
        <is>
          <t>Nord-Ubangi</t>
        </is>
      </c>
      <c r="C40" s="3" t="n">
        <v>915</v>
      </c>
      <c r="D40" s="3" t="n">
        <v>0.16</v>
      </c>
    </row>
    <row r="41">
      <c r="A41" s="3" t="n">
        <v>26</v>
      </c>
      <c r="B41" s="3" t="inlineStr">
        <is>
          <t>Mai-Ndombe</t>
        </is>
      </c>
      <c r="C41" s="3" t="n">
        <v>716</v>
      </c>
      <c r="D41" s="3" t="n">
        <v>0.13</v>
      </c>
    </row>
    <row r="44">
      <c r="A44" s="15" t="inlineStr">
        <is>
          <t>Analyse par Trimestre</t>
        </is>
      </c>
    </row>
    <row r="45">
      <c r="A45" s="11" t="inlineStr">
        <is>
          <t>Trimestre</t>
        </is>
      </c>
      <c r="B45" s="11" t="inlineStr">
        <is>
          <t>Valeur</t>
        </is>
      </c>
      <c r="C45" s="11" t="inlineStr">
        <is>
          <t>% du Total</t>
        </is>
      </c>
    </row>
    <row r="46">
      <c r="A46" s="3" t="inlineStr">
        <is>
          <t>T1</t>
        </is>
      </c>
      <c r="B46" s="3" t="n">
        <v>159554</v>
      </c>
      <c r="C46" s="3" t="n">
        <v>28.63</v>
      </c>
    </row>
    <row r="47">
      <c r="A47" s="3" t="inlineStr">
        <is>
          <t>T2</t>
        </is>
      </c>
      <c r="B47" s="3" t="n">
        <v>108891</v>
      </c>
      <c r="C47" s="3" t="n">
        <v>19.54</v>
      </c>
    </row>
    <row r="48">
      <c r="A48" s="3" t="inlineStr">
        <is>
          <t>T3</t>
        </is>
      </c>
      <c r="B48" s="3" t="n">
        <v>119258</v>
      </c>
      <c r="C48" s="3" t="n">
        <v>21.4</v>
      </c>
    </row>
    <row r="49">
      <c r="A49" s="3" t="inlineStr">
        <is>
          <t>T4</t>
        </is>
      </c>
      <c r="B49" s="3" t="n">
        <v>169640</v>
      </c>
      <c r="C49" s="3" t="n">
        <v>30.44</v>
      </c>
    </row>
    <row r="52">
      <c r="A52" s="15" t="inlineStr">
        <is>
          <t>Analyse par Sexe</t>
        </is>
      </c>
    </row>
    <row r="53">
      <c r="A53" s="11" t="inlineStr">
        <is>
          <t>Sexe</t>
        </is>
      </c>
      <c r="B53" s="11" t="inlineStr">
        <is>
          <t>Valeur</t>
        </is>
      </c>
      <c r="C53" s="11" t="inlineStr">
        <is>
          <t>% du Total</t>
        </is>
      </c>
    </row>
    <row r="54">
      <c r="A54" s="3" t="inlineStr">
        <is>
          <t>Féminin</t>
        </is>
      </c>
      <c r="B54" s="3" t="n">
        <v>329466</v>
      </c>
      <c r="C54" s="3" t="n">
        <v>59.11</v>
      </c>
    </row>
    <row r="55">
      <c r="A55" s="3" t="inlineStr">
        <is>
          <t>Masculin</t>
        </is>
      </c>
      <c r="B55" s="3" t="n">
        <v>227877</v>
      </c>
      <c r="C55" s="3" t="n">
        <v>40.89</v>
      </c>
    </row>
    <row r="58">
      <c r="A58" s="15" t="inlineStr">
        <is>
          <t>Analyse par Tranche d'Âge</t>
        </is>
      </c>
    </row>
    <row r="59">
      <c r="A59" s="11" t="inlineStr">
        <is>
          <t>Tranche d'Âge</t>
        </is>
      </c>
      <c r="B59" s="11" t="inlineStr">
        <is>
          <t>Valeur</t>
        </is>
      </c>
      <c r="C59" s="11" t="inlineStr">
        <is>
          <t>% du Total</t>
        </is>
      </c>
    </row>
    <row r="60">
      <c r="A60" s="3" t="inlineStr">
        <is>
          <t>10 à 14 ans</t>
        </is>
      </c>
      <c r="B60" s="3" t="n">
        <v>739</v>
      </c>
      <c r="C60" s="3" t="n">
        <v>0.13</v>
      </c>
    </row>
    <row r="61">
      <c r="A61" s="3" t="inlineStr">
        <is>
          <t>15 à 19 ans</t>
        </is>
      </c>
      <c r="B61" s="3" t="n">
        <v>2111</v>
      </c>
      <c r="C61" s="3" t="n">
        <v>0.38</v>
      </c>
    </row>
    <row r="62">
      <c r="A62" s="3" t="inlineStr">
        <is>
          <t>20 à 24 ans</t>
        </is>
      </c>
      <c r="B62" s="3" t="n">
        <v>19661</v>
      </c>
      <c r="C62" s="3" t="n">
        <v>3.53</v>
      </c>
    </row>
    <row r="63">
      <c r="A63" s="3" t="inlineStr">
        <is>
          <t>25 à 49 ans</t>
        </is>
      </c>
      <c r="B63" s="3" t="n">
        <v>8884</v>
      </c>
      <c r="C63" s="3" t="n">
        <v>1.59</v>
      </c>
    </row>
    <row r="64">
      <c r="A64" s="3" t="inlineStr">
        <is>
          <t>&lt; 10 ans</t>
        </is>
      </c>
      <c r="B64" s="3" t="n">
        <v>45</v>
      </c>
      <c r="C64" s="3" t="n">
        <v>0.01</v>
      </c>
    </row>
    <row r="65">
      <c r="A65" s="3" t="inlineStr">
        <is>
          <t>&lt; 15 ans</t>
        </is>
      </c>
      <c r="B65" s="3" t="n">
        <v>27399</v>
      </c>
      <c r="C65" s="3" t="n">
        <v>4.92</v>
      </c>
    </row>
    <row r="66">
      <c r="A66" s="3" t="inlineStr">
        <is>
          <t>&gt;= 15 ans</t>
        </is>
      </c>
      <c r="B66" s="3" t="n">
        <v>493229</v>
      </c>
      <c r="C66" s="3" t="n">
        <v>88.5</v>
      </c>
    </row>
    <row r="67">
      <c r="A67" s="3" t="inlineStr">
        <is>
          <t>&gt;= 50 ans</t>
        </is>
      </c>
      <c r="B67" s="3" t="n">
        <v>5275</v>
      </c>
      <c r="C67" s="3" t="n">
        <v>0.95</v>
      </c>
    </row>
    <row r="70">
      <c r="A70" s="15" t="inlineStr">
        <is>
          <t>Tableau Croisé: Province × Année</t>
        </is>
      </c>
    </row>
    <row r="71">
      <c r="A71" s="11" t="inlineStr">
        <is>
          <t>provinces</t>
        </is>
      </c>
      <c r="B71" s="11" t="inlineStr">
        <is>
          <t>2020</t>
        </is>
      </c>
      <c r="C71" s="11" t="inlineStr">
        <is>
          <t>2021</t>
        </is>
      </c>
      <c r="D71" s="11" t="inlineStr">
        <is>
          <t>2022</t>
        </is>
      </c>
      <c r="E71" s="11" t="inlineStr">
        <is>
          <t>2023</t>
        </is>
      </c>
      <c r="F71" s="11" t="inlineStr">
        <is>
          <t>2024</t>
        </is>
      </c>
      <c r="G71" s="11" t="inlineStr">
        <is>
          <t>TOTAL</t>
        </is>
      </c>
    </row>
    <row r="72">
      <c r="A72" s="3" t="inlineStr">
        <is>
          <t>Haut-Katanga</t>
        </is>
      </c>
      <c r="B72" s="3" t="n">
        <v>36817</v>
      </c>
      <c r="C72" s="3" t="n">
        <v>65920</v>
      </c>
      <c r="D72" s="3" t="n">
        <v>51703</v>
      </c>
      <c r="E72" s="3" t="n">
        <v>15595</v>
      </c>
      <c r="F72" s="3" t="n">
        <v>8641</v>
      </c>
      <c r="G72" s="3" t="n">
        <v>178676</v>
      </c>
    </row>
    <row r="73">
      <c r="A73" s="3" t="inlineStr">
        <is>
          <t>Kinshasa</t>
        </is>
      </c>
      <c r="B73" s="3" t="n">
        <v>41567</v>
      </c>
      <c r="C73" s="3" t="n">
        <v>39748</v>
      </c>
      <c r="D73" s="3" t="n">
        <v>43996</v>
      </c>
      <c r="E73" s="3" t="n">
        <v>28349</v>
      </c>
      <c r="F73" s="3" t="n">
        <v>0</v>
      </c>
      <c r="G73" s="3" t="n">
        <v>153660</v>
      </c>
    </row>
    <row r="74">
      <c r="A74" s="3" t="inlineStr">
        <is>
          <t>Ituri</t>
        </is>
      </c>
      <c r="B74" s="3" t="n">
        <v>38861</v>
      </c>
      <c r="C74" s="3" t="n">
        <v>3748</v>
      </c>
      <c r="D74" s="3" t="n">
        <v>4697</v>
      </c>
      <c r="E74" s="3" t="n">
        <v>4744</v>
      </c>
      <c r="F74" s="3" t="n">
        <v>4293</v>
      </c>
      <c r="G74" s="3" t="n">
        <v>56343</v>
      </c>
    </row>
    <row r="75">
      <c r="A75" s="3" t="inlineStr">
        <is>
          <t>Tshuapa</t>
        </is>
      </c>
      <c r="B75" s="3" t="n">
        <v>19556</v>
      </c>
      <c r="C75" s="3" t="n">
        <v>2777</v>
      </c>
      <c r="D75" s="3" t="n">
        <v>5064</v>
      </c>
      <c r="E75" s="3" t="n">
        <v>0</v>
      </c>
      <c r="F75" s="3" t="n">
        <v>296</v>
      </c>
      <c r="G75" s="3" t="n">
        <v>27693</v>
      </c>
    </row>
    <row r="76">
      <c r="A76" s="3" t="inlineStr">
        <is>
          <t>Haut-Uele</t>
        </is>
      </c>
      <c r="B76" s="3" t="n">
        <v>2338</v>
      </c>
      <c r="C76" s="3" t="n">
        <v>118</v>
      </c>
      <c r="D76" s="3" t="n">
        <v>1384</v>
      </c>
      <c r="E76" s="3" t="n">
        <v>17678</v>
      </c>
      <c r="F76" s="3" t="n">
        <v>3671</v>
      </c>
      <c r="G76" s="3" t="n">
        <v>25189</v>
      </c>
    </row>
    <row r="77">
      <c r="A77" s="3" t="inlineStr">
        <is>
          <t>Sud Kivu</t>
        </is>
      </c>
      <c r="B77" s="3" t="n">
        <v>3118</v>
      </c>
      <c r="C77" s="3" t="n">
        <v>2779</v>
      </c>
      <c r="D77" s="3" t="n">
        <v>1879</v>
      </c>
      <c r="E77" s="3" t="n">
        <v>4319</v>
      </c>
      <c r="F77" s="3" t="n">
        <v>4981</v>
      </c>
      <c r="G77" s="3" t="n">
        <v>17076</v>
      </c>
    </row>
    <row r="78">
      <c r="A78" s="3" t="inlineStr">
        <is>
          <t>Nord-Kivu</t>
        </is>
      </c>
      <c r="B78" s="3" t="n">
        <v>1164</v>
      </c>
      <c r="C78" s="3" t="n">
        <v>7764</v>
      </c>
      <c r="D78" s="3" t="n">
        <v>4941</v>
      </c>
      <c r="E78" s="3" t="n">
        <v>149</v>
      </c>
      <c r="F78" s="3" t="n">
        <v>3</v>
      </c>
      <c r="G78" s="3" t="n">
        <v>14021</v>
      </c>
    </row>
    <row r="79">
      <c r="A79" s="3" t="inlineStr">
        <is>
          <t>Lualaba</t>
        </is>
      </c>
      <c r="B79" s="3" t="n">
        <v>1528</v>
      </c>
      <c r="C79" s="3" t="n">
        <v>2414</v>
      </c>
      <c r="D79" s="3" t="n">
        <v>0</v>
      </c>
      <c r="E79" s="3" t="n">
        <v>2383</v>
      </c>
      <c r="F79" s="3" t="n">
        <v>7616</v>
      </c>
      <c r="G79" s="3" t="n">
        <v>13941</v>
      </c>
    </row>
    <row r="80">
      <c r="A80" s="3" t="inlineStr">
        <is>
          <t>Haut-Lomami</t>
        </is>
      </c>
      <c r="B80" s="3" t="n">
        <v>1636</v>
      </c>
      <c r="C80" s="3" t="n">
        <v>3016</v>
      </c>
      <c r="D80" s="3" t="n">
        <v>559</v>
      </c>
      <c r="E80" s="3" t="n">
        <v>1936</v>
      </c>
      <c r="F80" s="3" t="n">
        <v>986</v>
      </c>
      <c r="G80" s="3" t="n">
        <v>8133</v>
      </c>
    </row>
    <row r="81">
      <c r="A81" s="3" t="inlineStr">
        <is>
          <t>Kongo-Central</t>
        </is>
      </c>
      <c r="B81" s="3" t="n">
        <v>1911</v>
      </c>
      <c r="C81" s="3" t="n">
        <v>1410</v>
      </c>
      <c r="D81" s="3" t="n">
        <v>1408</v>
      </c>
      <c r="E81" s="3" t="n">
        <v>663</v>
      </c>
      <c r="F81" s="3" t="n">
        <v>1643</v>
      </c>
      <c r="G81" s="3" t="n">
        <v>7035</v>
      </c>
    </row>
    <row r="82">
      <c r="A82" s="3" t="inlineStr">
        <is>
          <t>Bas-Uele</t>
        </is>
      </c>
      <c r="B82" s="3" t="n">
        <v>0</v>
      </c>
      <c r="C82" s="3" t="n">
        <v>2820</v>
      </c>
      <c r="D82" s="3" t="n">
        <v>1541</v>
      </c>
      <c r="E82" s="3" t="n">
        <v>1136</v>
      </c>
      <c r="F82" s="3" t="n">
        <v>1484</v>
      </c>
      <c r="G82" s="3" t="n">
        <v>6981</v>
      </c>
    </row>
    <row r="83">
      <c r="A83" s="3" t="inlineStr">
        <is>
          <t>Kasaï-Oriental</t>
        </is>
      </c>
      <c r="B83" s="3" t="n">
        <v>1573</v>
      </c>
      <c r="C83" s="3" t="n">
        <v>1006</v>
      </c>
      <c r="D83" s="3" t="n">
        <v>719</v>
      </c>
      <c r="E83" s="3" t="n">
        <v>1167</v>
      </c>
      <c r="F83" s="3" t="n">
        <v>2043</v>
      </c>
      <c r="G83" s="3" t="n">
        <v>6508</v>
      </c>
    </row>
    <row r="84">
      <c r="A84" s="3" t="inlineStr">
        <is>
          <t>Maniema</t>
        </is>
      </c>
      <c r="B84" s="3" t="n">
        <v>2871</v>
      </c>
      <c r="C84" s="3" t="n">
        <v>48</v>
      </c>
      <c r="D84" s="3" t="n">
        <v>2151</v>
      </c>
      <c r="E84" s="3" t="n">
        <v>560</v>
      </c>
      <c r="F84" s="3" t="n">
        <v>868</v>
      </c>
      <c r="G84" s="3" t="n">
        <v>6498</v>
      </c>
    </row>
    <row r="85">
      <c r="A85" s="3" t="inlineStr">
        <is>
          <t>Tshopo</t>
        </is>
      </c>
      <c r="B85" s="3" t="n">
        <v>2180</v>
      </c>
      <c r="C85" s="3" t="n">
        <v>0</v>
      </c>
      <c r="D85" s="3" t="n">
        <v>0</v>
      </c>
      <c r="E85" s="3" t="n">
        <v>2119</v>
      </c>
      <c r="F85" s="3" t="n">
        <v>974</v>
      </c>
      <c r="G85" s="3" t="n">
        <v>5273</v>
      </c>
    </row>
    <row r="86">
      <c r="A86" s="3" t="inlineStr">
        <is>
          <t>Tanganyika</t>
        </is>
      </c>
      <c r="B86" s="3" t="n">
        <v>1258</v>
      </c>
      <c r="C86" s="3" t="n">
        <v>1086</v>
      </c>
      <c r="D86" s="3" t="n">
        <v>2064</v>
      </c>
      <c r="E86" s="3" t="n">
        <v>225</v>
      </c>
      <c r="F86" s="3" t="n">
        <v>39</v>
      </c>
      <c r="G86" s="3" t="n">
        <v>4672</v>
      </c>
    </row>
    <row r="87">
      <c r="A87" s="3" t="inlineStr">
        <is>
          <t>Mongala</t>
        </is>
      </c>
      <c r="B87" s="3" t="n">
        <v>537</v>
      </c>
      <c r="C87" s="3" t="n">
        <v>707</v>
      </c>
      <c r="D87" s="3" t="n">
        <v>1776</v>
      </c>
      <c r="E87" s="3" t="n">
        <v>1315</v>
      </c>
      <c r="F87" s="3" t="n">
        <v>276</v>
      </c>
      <c r="G87" s="3" t="n">
        <v>4611</v>
      </c>
    </row>
    <row r="88">
      <c r="A88" s="3" t="inlineStr">
        <is>
          <t>Kwilu</t>
        </is>
      </c>
      <c r="B88" s="3" t="n">
        <v>1273</v>
      </c>
      <c r="C88" s="3" t="n">
        <v>1290</v>
      </c>
      <c r="D88" s="3" t="n">
        <v>788</v>
      </c>
      <c r="E88" s="3" t="n">
        <v>393</v>
      </c>
      <c r="F88" s="3" t="n">
        <v>853</v>
      </c>
      <c r="G88" s="3" t="n">
        <v>4597</v>
      </c>
    </row>
    <row r="89">
      <c r="A89" s="3" t="inlineStr">
        <is>
          <t>Kasaï-Central</t>
        </is>
      </c>
      <c r="B89" s="3" t="n">
        <v>106</v>
      </c>
      <c r="C89" s="3" t="n">
        <v>1265</v>
      </c>
      <c r="D89" s="3" t="n">
        <v>0</v>
      </c>
      <c r="E89" s="3" t="n">
        <v>1273</v>
      </c>
      <c r="F89" s="3" t="n">
        <v>1160</v>
      </c>
      <c r="G89" s="3" t="n">
        <v>3804</v>
      </c>
    </row>
    <row r="90">
      <c r="A90" s="3" t="inlineStr">
        <is>
          <t>Kasaï</t>
        </is>
      </c>
      <c r="B90" s="3" t="n">
        <v>7</v>
      </c>
      <c r="C90" s="3" t="n">
        <v>0</v>
      </c>
      <c r="D90" s="3" t="n">
        <v>0</v>
      </c>
      <c r="E90" s="3" t="n">
        <v>1081</v>
      </c>
      <c r="F90" s="3" t="n">
        <v>2044</v>
      </c>
      <c r="G90" s="3" t="n">
        <v>3132</v>
      </c>
    </row>
    <row r="91">
      <c r="A91" s="3" t="inlineStr">
        <is>
          <t>Sankuru</t>
        </is>
      </c>
      <c r="B91" s="3" t="n">
        <v>937</v>
      </c>
      <c r="C91" s="3" t="n">
        <v>96</v>
      </c>
      <c r="D91" s="3" t="n">
        <v>653</v>
      </c>
      <c r="E91" s="3" t="n">
        <v>273</v>
      </c>
      <c r="F91" s="3" t="n">
        <v>991</v>
      </c>
      <c r="G91" s="3" t="n">
        <v>2950</v>
      </c>
    </row>
    <row r="92">
      <c r="A92" s="3" t="inlineStr">
        <is>
          <t>Équateur</t>
        </is>
      </c>
      <c r="B92" s="3" t="n">
        <v>354</v>
      </c>
      <c r="C92" s="3" t="n">
        <v>159</v>
      </c>
      <c r="D92" s="3" t="n">
        <v>0</v>
      </c>
      <c r="E92" s="3" t="n">
        <v>522</v>
      </c>
      <c r="F92" s="3" t="n">
        <v>380</v>
      </c>
      <c r="G92" s="3" t="n">
        <v>1415</v>
      </c>
    </row>
    <row r="93">
      <c r="A93" s="3" t="inlineStr">
        <is>
          <t>Kwango</t>
        </is>
      </c>
      <c r="B93" s="3" t="n">
        <v>384</v>
      </c>
      <c r="C93" s="3" t="n">
        <v>315</v>
      </c>
      <c r="D93" s="3" t="n">
        <v>231</v>
      </c>
      <c r="E93" s="3" t="n">
        <v>136</v>
      </c>
      <c r="F93" s="3" t="n">
        <v>197</v>
      </c>
      <c r="G93" s="3" t="n">
        <v>1263</v>
      </c>
    </row>
    <row r="94">
      <c r="A94" s="3" t="inlineStr">
        <is>
          <t>Sud-Ubangi</t>
        </is>
      </c>
      <c r="B94" s="3" t="n">
        <v>105</v>
      </c>
      <c r="C94" s="3" t="n">
        <v>662</v>
      </c>
      <c r="D94" s="3" t="n">
        <v>0</v>
      </c>
      <c r="E94" s="3" t="n">
        <v>176</v>
      </c>
      <c r="F94" s="3" t="n">
        <v>200</v>
      </c>
      <c r="G94" s="3" t="n">
        <v>1143</v>
      </c>
    </row>
    <row r="95">
      <c r="A95" s="3" t="inlineStr">
        <is>
          <t>Lomami</t>
        </is>
      </c>
      <c r="B95" s="3" t="n">
        <v>0</v>
      </c>
      <c r="C95" s="3" t="n">
        <v>140</v>
      </c>
      <c r="D95" s="3" t="n">
        <v>0</v>
      </c>
      <c r="E95" s="3" t="n">
        <v>573</v>
      </c>
      <c r="F95" s="3" t="n">
        <v>385</v>
      </c>
      <c r="G95" s="3" t="n">
        <v>1098</v>
      </c>
    </row>
    <row r="96">
      <c r="A96" s="3" t="inlineStr">
        <is>
          <t>Nord-Ubangi</t>
        </is>
      </c>
      <c r="B96" s="3" t="n">
        <v>138</v>
      </c>
      <c r="C96" s="3" t="n">
        <v>107</v>
      </c>
      <c r="D96" s="3" t="n">
        <v>187</v>
      </c>
      <c r="E96" s="3" t="n">
        <v>203</v>
      </c>
      <c r="F96" s="3" t="n">
        <v>280</v>
      </c>
      <c r="G96" s="3" t="n">
        <v>915</v>
      </c>
    </row>
    <row r="97">
      <c r="A97" s="3" t="inlineStr">
        <is>
          <t>Mai-Ndombe</t>
        </is>
      </c>
      <c r="B97" s="3" t="n">
        <v>83</v>
      </c>
      <c r="C97" s="3" t="n">
        <v>26</v>
      </c>
      <c r="D97" s="3" t="n">
        <v>239</v>
      </c>
      <c r="E97" s="3" t="n">
        <v>185</v>
      </c>
      <c r="F97" s="3" t="n">
        <v>183</v>
      </c>
      <c r="G97" s="3" t="n">
        <v>716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5" customWidth="1" min="3" max="3"/>
    <col width="12" customWidth="1" min="4" max="4"/>
  </cols>
  <sheetData>
    <row r="1">
      <c r="A1" s="12" t="inlineStr">
        <is>
          <t>ANALYSE: Nombre de PVVIH sous TAR</t>
        </is>
      </c>
    </row>
    <row r="3">
      <c r="A3" s="13" t="inlineStr">
        <is>
          <t>TOTAL</t>
        </is>
      </c>
      <c r="B3" s="14" t="n">
        <v>5029684</v>
      </c>
    </row>
    <row r="5">
      <c r="A5" s="15" t="inlineStr">
        <is>
          <t>Analyse par Année</t>
        </is>
      </c>
    </row>
    <row r="6">
      <c r="A6" s="11" t="inlineStr">
        <is>
          <t>Année</t>
        </is>
      </c>
      <c r="B6" s="11" t="inlineStr">
        <is>
          <t>Valeur</t>
        </is>
      </c>
      <c r="C6" s="11" t="inlineStr">
        <is>
          <t>Croissance (%)</t>
        </is>
      </c>
    </row>
    <row r="7">
      <c r="A7" s="3" t="n">
        <v>2020</v>
      </c>
      <c r="B7" s="3" t="n">
        <v>806607</v>
      </c>
      <c r="C7" s="3" t="n">
        <v>0</v>
      </c>
    </row>
    <row r="8">
      <c r="A8" s="3" t="n">
        <v>2021</v>
      </c>
      <c r="B8" s="3" t="n">
        <v>473850</v>
      </c>
      <c r="C8" s="3" t="n">
        <v>-41.25</v>
      </c>
    </row>
    <row r="9">
      <c r="A9" s="3" t="n">
        <v>2022</v>
      </c>
      <c r="B9" s="3" t="n">
        <v>1019114</v>
      </c>
      <c r="C9" s="3" t="n">
        <v>115.07</v>
      </c>
    </row>
    <row r="10">
      <c r="A10" s="3" t="n">
        <v>2023</v>
      </c>
      <c r="B10" s="3" t="n">
        <v>1393070</v>
      </c>
      <c r="C10" s="3" t="n">
        <v>36.69</v>
      </c>
    </row>
    <row r="11">
      <c r="A11" s="3" t="n">
        <v>2024</v>
      </c>
      <c r="B11" s="3" t="n">
        <v>1337043</v>
      </c>
      <c r="C11" s="3" t="n">
        <v>-4.02</v>
      </c>
    </row>
    <row r="14">
      <c r="A14" s="15" t="inlineStr">
        <is>
          <t>Analyse par Province</t>
        </is>
      </c>
    </row>
    <row r="15">
      <c r="A15" s="11" t="inlineStr">
        <is>
          <t>Rang</t>
        </is>
      </c>
      <c r="B15" s="11" t="inlineStr">
        <is>
          <t>Province</t>
        </is>
      </c>
      <c r="C15" s="11" t="inlineStr">
        <is>
          <t>Valeur</t>
        </is>
      </c>
      <c r="D15" s="11" t="inlineStr">
        <is>
          <t>% du Total</t>
        </is>
      </c>
    </row>
    <row r="16">
      <c r="A16" s="3" t="n">
        <v>1</v>
      </c>
      <c r="B16" s="3" t="inlineStr">
        <is>
          <t>Haut-Katanga</t>
        </is>
      </c>
      <c r="C16" s="3" t="n">
        <v>1884943</v>
      </c>
      <c r="D16" s="3" t="n">
        <v>37.48</v>
      </c>
    </row>
    <row r="17">
      <c r="A17" s="3" t="n">
        <v>2</v>
      </c>
      <c r="B17" s="3" t="inlineStr">
        <is>
          <t>Sud Kivu</t>
        </is>
      </c>
      <c r="C17" s="3" t="n">
        <v>611070</v>
      </c>
      <c r="D17" s="3" t="n">
        <v>12.15</v>
      </c>
    </row>
    <row r="18">
      <c r="A18" s="3" t="n">
        <v>3</v>
      </c>
      <c r="B18" s="3" t="inlineStr">
        <is>
          <t>Ituri</t>
        </is>
      </c>
      <c r="C18" s="3" t="n">
        <v>407364</v>
      </c>
      <c r="D18" s="3" t="n">
        <v>8.1</v>
      </c>
    </row>
    <row r="19">
      <c r="A19" s="3" t="n">
        <v>4</v>
      </c>
      <c r="B19" s="3" t="inlineStr">
        <is>
          <t>Kasaï-Oriental</t>
        </is>
      </c>
      <c r="C19" s="3" t="n">
        <v>234918</v>
      </c>
      <c r="D19" s="3" t="n">
        <v>4.67</v>
      </c>
    </row>
    <row r="20">
      <c r="A20" s="3" t="n">
        <v>5</v>
      </c>
      <c r="B20" s="3" t="inlineStr">
        <is>
          <t>Haut-Lomami</t>
        </is>
      </c>
      <c r="C20" s="3" t="n">
        <v>232855</v>
      </c>
      <c r="D20" s="3" t="n">
        <v>4.63</v>
      </c>
    </row>
    <row r="21">
      <c r="A21" s="3" t="n">
        <v>6</v>
      </c>
      <c r="B21" s="3" t="inlineStr">
        <is>
          <t>Kongo-Central</t>
        </is>
      </c>
      <c r="C21" s="3" t="n">
        <v>222605</v>
      </c>
      <c r="D21" s="3" t="n">
        <v>4.43</v>
      </c>
    </row>
    <row r="22">
      <c r="A22" s="3" t="n">
        <v>7</v>
      </c>
      <c r="B22" s="3" t="inlineStr">
        <is>
          <t>Kinshasa</t>
        </is>
      </c>
      <c r="C22" s="3" t="n">
        <v>221398</v>
      </c>
      <c r="D22" s="3" t="n">
        <v>4.4</v>
      </c>
    </row>
    <row r="23">
      <c r="A23" s="3" t="n">
        <v>8</v>
      </c>
      <c r="B23" s="3" t="inlineStr">
        <is>
          <t>Kwilu</t>
        </is>
      </c>
      <c r="C23" s="3" t="n">
        <v>168477</v>
      </c>
      <c r="D23" s="3" t="n">
        <v>3.35</v>
      </c>
    </row>
    <row r="24">
      <c r="A24" s="3" t="n">
        <v>9</v>
      </c>
      <c r="B24" s="3" t="inlineStr">
        <is>
          <t>Kasaï-Central</t>
        </is>
      </c>
      <c r="C24" s="3" t="n">
        <v>146969</v>
      </c>
      <c r="D24" s="3" t="n">
        <v>2.92</v>
      </c>
    </row>
    <row r="25">
      <c r="A25" s="3" t="n">
        <v>10</v>
      </c>
      <c r="B25" s="3" t="inlineStr">
        <is>
          <t>Bas-Uele</t>
        </is>
      </c>
      <c r="C25" s="3" t="n">
        <v>139393</v>
      </c>
      <c r="D25" s="3" t="n">
        <v>2.77</v>
      </c>
    </row>
    <row r="26">
      <c r="A26" s="3" t="n">
        <v>11</v>
      </c>
      <c r="B26" s="3" t="inlineStr">
        <is>
          <t>Maniema</t>
        </is>
      </c>
      <c r="C26" s="3" t="n">
        <v>111442</v>
      </c>
      <c r="D26" s="3" t="n">
        <v>2.22</v>
      </c>
    </row>
    <row r="27">
      <c r="A27" s="3" t="n">
        <v>12</v>
      </c>
      <c r="B27" s="3" t="inlineStr">
        <is>
          <t>Haut-Uele</t>
        </is>
      </c>
      <c r="C27" s="3" t="n">
        <v>99157</v>
      </c>
      <c r="D27" s="3" t="n">
        <v>1.97</v>
      </c>
    </row>
    <row r="28">
      <c r="A28" s="3" t="n">
        <v>13</v>
      </c>
      <c r="B28" s="3" t="inlineStr">
        <is>
          <t>Nord-Kivu</t>
        </is>
      </c>
      <c r="C28" s="3" t="n">
        <v>97054</v>
      </c>
      <c r="D28" s="3" t="n">
        <v>1.93</v>
      </c>
    </row>
    <row r="29">
      <c r="A29" s="3" t="n">
        <v>14</v>
      </c>
      <c r="B29" s="3" t="inlineStr">
        <is>
          <t>Tshopo</t>
        </is>
      </c>
      <c r="C29" s="3" t="n">
        <v>85160</v>
      </c>
      <c r="D29" s="3" t="n">
        <v>1.69</v>
      </c>
    </row>
    <row r="30">
      <c r="A30" s="3" t="n">
        <v>15</v>
      </c>
      <c r="B30" s="3" t="inlineStr">
        <is>
          <t>Mongala</t>
        </is>
      </c>
      <c r="C30" s="3" t="n">
        <v>56010</v>
      </c>
      <c r="D30" s="3" t="n">
        <v>1.11</v>
      </c>
    </row>
    <row r="31">
      <c r="A31" s="3" t="n">
        <v>16</v>
      </c>
      <c r="B31" s="3" t="inlineStr">
        <is>
          <t>Sud-Ubangi</t>
        </is>
      </c>
      <c r="C31" s="3" t="n">
        <v>51535</v>
      </c>
      <c r="D31" s="3" t="n">
        <v>1.02</v>
      </c>
    </row>
    <row r="32">
      <c r="A32" s="3" t="n">
        <v>17</v>
      </c>
      <c r="B32" s="3" t="inlineStr">
        <is>
          <t>Kwango</t>
        </is>
      </c>
      <c r="C32" s="3" t="n">
        <v>48909</v>
      </c>
      <c r="D32" s="3" t="n">
        <v>0.97</v>
      </c>
    </row>
    <row r="33">
      <c r="A33" s="3" t="n">
        <v>18</v>
      </c>
      <c r="B33" s="3" t="inlineStr">
        <is>
          <t>Lualaba</t>
        </is>
      </c>
      <c r="C33" s="3" t="n">
        <v>44822</v>
      </c>
      <c r="D33" s="3" t="n">
        <v>0.89</v>
      </c>
    </row>
    <row r="34">
      <c r="A34" s="3" t="n">
        <v>19</v>
      </c>
      <c r="B34" s="3" t="inlineStr">
        <is>
          <t>Lomami</t>
        </is>
      </c>
      <c r="C34" s="3" t="n">
        <v>31441</v>
      </c>
      <c r="D34" s="3" t="n">
        <v>0.63</v>
      </c>
    </row>
    <row r="35">
      <c r="A35" s="3" t="n">
        <v>20</v>
      </c>
      <c r="B35" s="3" t="inlineStr">
        <is>
          <t>Équateur</t>
        </is>
      </c>
      <c r="C35" s="3" t="n">
        <v>29921</v>
      </c>
      <c r="D35" s="3" t="n">
        <v>0.59</v>
      </c>
    </row>
    <row r="36">
      <c r="A36" s="3" t="n">
        <v>21</v>
      </c>
      <c r="B36" s="3" t="inlineStr">
        <is>
          <t>Mai-Ndombe</t>
        </is>
      </c>
      <c r="C36" s="3" t="n">
        <v>29846</v>
      </c>
      <c r="D36" s="3" t="n">
        <v>0.59</v>
      </c>
    </row>
    <row r="37">
      <c r="A37" s="3" t="n">
        <v>22</v>
      </c>
      <c r="B37" s="3" t="inlineStr">
        <is>
          <t>Nord-Ubangi</t>
        </is>
      </c>
      <c r="C37" s="3" t="n">
        <v>24149</v>
      </c>
      <c r="D37" s="3" t="n">
        <v>0.48</v>
      </c>
    </row>
    <row r="38">
      <c r="A38" s="3" t="n">
        <v>23</v>
      </c>
      <c r="B38" s="3" t="inlineStr">
        <is>
          <t>Tshuapa</t>
        </is>
      </c>
      <c r="C38" s="3" t="n">
        <v>24083</v>
      </c>
      <c r="D38" s="3" t="n">
        <v>0.48</v>
      </c>
    </row>
    <row r="39">
      <c r="A39" s="3" t="n">
        <v>24</v>
      </c>
      <c r="B39" s="3" t="inlineStr">
        <is>
          <t>Kasaï</t>
        </is>
      </c>
      <c r="C39" s="3" t="n">
        <v>11286</v>
      </c>
      <c r="D39" s="3" t="n">
        <v>0.22</v>
      </c>
    </row>
    <row r="40">
      <c r="A40" s="3" t="n">
        <v>25</v>
      </c>
      <c r="B40" s="3" t="inlineStr">
        <is>
          <t>Sankuru</t>
        </is>
      </c>
      <c r="C40" s="3" t="n">
        <v>10266</v>
      </c>
      <c r="D40" s="3" t="n">
        <v>0.2</v>
      </c>
    </row>
    <row r="41">
      <c r="A41" s="3" t="n">
        <v>26</v>
      </c>
      <c r="B41" s="3" t="inlineStr">
        <is>
          <t>Tanganyika</t>
        </is>
      </c>
      <c r="C41" s="3" t="n">
        <v>4611</v>
      </c>
      <c r="D41" s="3" t="n">
        <v>0.09</v>
      </c>
    </row>
    <row r="44">
      <c r="A44" s="15" t="inlineStr">
        <is>
          <t>Analyse par Trimestre</t>
        </is>
      </c>
    </row>
    <row r="45">
      <c r="A45" s="11" t="inlineStr">
        <is>
          <t>Trimestre</t>
        </is>
      </c>
      <c r="B45" s="11" t="inlineStr">
        <is>
          <t>Valeur</t>
        </is>
      </c>
      <c r="C45" s="11" t="inlineStr">
        <is>
          <t>% du Total</t>
        </is>
      </c>
    </row>
    <row r="46">
      <c r="A46" s="3" t="inlineStr">
        <is>
          <t>T1</t>
        </is>
      </c>
      <c r="B46" s="3" t="n">
        <v>1432278</v>
      </c>
      <c r="C46" s="3" t="n">
        <v>28.48</v>
      </c>
    </row>
    <row r="47">
      <c r="A47" s="3" t="inlineStr">
        <is>
          <t>T2</t>
        </is>
      </c>
      <c r="B47" s="3" t="n">
        <v>1269224</v>
      </c>
      <c r="C47" s="3" t="n">
        <v>25.23</v>
      </c>
    </row>
    <row r="48">
      <c r="A48" s="3" t="inlineStr">
        <is>
          <t>T3</t>
        </is>
      </c>
      <c r="B48" s="3" t="n">
        <v>1147554</v>
      </c>
      <c r="C48" s="3" t="n">
        <v>22.82</v>
      </c>
    </row>
    <row r="49">
      <c r="A49" s="3" t="inlineStr">
        <is>
          <t>T4</t>
        </is>
      </c>
      <c r="B49" s="3" t="n">
        <v>1180628</v>
      </c>
      <c r="C49" s="3" t="n">
        <v>23.47</v>
      </c>
    </row>
    <row r="52">
      <c r="A52" s="15" t="inlineStr">
        <is>
          <t>Analyse par Sexe</t>
        </is>
      </c>
    </row>
    <row r="53">
      <c r="A53" s="11" t="inlineStr">
        <is>
          <t>Sexe</t>
        </is>
      </c>
      <c r="B53" s="11" t="inlineStr">
        <is>
          <t>Valeur</t>
        </is>
      </c>
      <c r="C53" s="11" t="inlineStr">
        <is>
          <t>% du Total</t>
        </is>
      </c>
    </row>
    <row r="54">
      <c r="A54" s="3" t="inlineStr">
        <is>
          <t>Féminin</t>
        </is>
      </c>
      <c r="B54" s="3" t="n">
        <v>3155245</v>
      </c>
      <c r="C54" s="3" t="n">
        <v>62.73</v>
      </c>
    </row>
    <row r="55">
      <c r="A55" s="3" t="inlineStr">
        <is>
          <t>Masculin</t>
        </is>
      </c>
      <c r="B55" s="3" t="n">
        <v>1874439</v>
      </c>
      <c r="C55" s="3" t="n">
        <v>37.27</v>
      </c>
    </row>
    <row r="58">
      <c r="A58" s="15" t="inlineStr">
        <is>
          <t>Analyse par Tranche d'Âge</t>
        </is>
      </c>
    </row>
    <row r="59">
      <c r="A59" s="11" t="inlineStr">
        <is>
          <t>Tranche d'Âge</t>
        </is>
      </c>
      <c r="B59" s="11" t="inlineStr">
        <is>
          <t>Valeur</t>
        </is>
      </c>
      <c r="C59" s="11" t="inlineStr">
        <is>
          <t>% du Total</t>
        </is>
      </c>
    </row>
    <row r="60">
      <c r="A60" s="3" t="inlineStr">
        <is>
          <t>10 à 14 ans</t>
        </is>
      </c>
      <c r="B60" s="3" t="n">
        <v>2745</v>
      </c>
      <c r="C60" s="3" t="n">
        <v>0.05</v>
      </c>
    </row>
    <row r="61">
      <c r="A61" s="3" t="inlineStr">
        <is>
          <t>15 à 19 ans</t>
        </is>
      </c>
      <c r="B61" s="3" t="n">
        <v>11491</v>
      </c>
      <c r="C61" s="3" t="n">
        <v>0.23</v>
      </c>
    </row>
    <row r="62">
      <c r="A62" s="3" t="inlineStr">
        <is>
          <t>20 à 24 ans</t>
        </is>
      </c>
      <c r="B62" s="3" t="n">
        <v>59976</v>
      </c>
      <c r="C62" s="3" t="n">
        <v>1.19</v>
      </c>
    </row>
    <row r="63">
      <c r="A63" s="3" t="inlineStr">
        <is>
          <t>25 à 49 ans</t>
        </is>
      </c>
      <c r="B63" s="3" t="n">
        <v>120977</v>
      </c>
      <c r="C63" s="3" t="n">
        <v>2.41</v>
      </c>
    </row>
    <row r="64">
      <c r="A64" s="3" t="inlineStr">
        <is>
          <t>&lt; 10 ans</t>
        </is>
      </c>
      <c r="B64" s="3" t="n">
        <v>1482</v>
      </c>
      <c r="C64" s="3" t="n">
        <v>0.03</v>
      </c>
    </row>
    <row r="65">
      <c r="A65" s="3" t="inlineStr">
        <is>
          <t>&lt; 15 ans</t>
        </is>
      </c>
      <c r="B65" s="3" t="n">
        <v>355575</v>
      </c>
      <c r="C65" s="3" t="n">
        <v>7.07</v>
      </c>
    </row>
    <row r="66">
      <c r="A66" s="3" t="inlineStr">
        <is>
          <t>&gt;= 15 ans</t>
        </is>
      </c>
      <c r="B66" s="3" t="n">
        <v>4470192</v>
      </c>
      <c r="C66" s="3" t="n">
        <v>88.88</v>
      </c>
    </row>
    <row r="67">
      <c r="A67" s="3" t="inlineStr">
        <is>
          <t>&gt;= 50 ans</t>
        </is>
      </c>
      <c r="B67" s="3" t="n">
        <v>7246</v>
      </c>
      <c r="C67" s="3" t="n">
        <v>0.14</v>
      </c>
    </row>
    <row r="70">
      <c r="A70" s="15" t="inlineStr">
        <is>
          <t>Tableau Croisé: Province × Année</t>
        </is>
      </c>
    </row>
    <row r="71">
      <c r="A71" s="11" t="inlineStr">
        <is>
          <t>provinces</t>
        </is>
      </c>
      <c r="B71" s="11" t="inlineStr">
        <is>
          <t>2020</t>
        </is>
      </c>
      <c r="C71" s="11" t="inlineStr">
        <is>
          <t>2021</t>
        </is>
      </c>
      <c r="D71" s="11" t="inlineStr">
        <is>
          <t>2022</t>
        </is>
      </c>
      <c r="E71" s="11" t="inlineStr">
        <is>
          <t>2023</t>
        </is>
      </c>
      <c r="F71" s="11" t="inlineStr">
        <is>
          <t>2024</t>
        </is>
      </c>
      <c r="G71" s="11" t="inlineStr">
        <is>
          <t>TOTAL</t>
        </is>
      </c>
    </row>
    <row r="72">
      <c r="A72" s="3" t="inlineStr">
        <is>
          <t>Haut-Katanga</t>
        </is>
      </c>
      <c r="B72" s="3" t="n">
        <v>321573</v>
      </c>
      <c r="C72" s="3" t="n">
        <v>9473</v>
      </c>
      <c r="D72" s="3" t="n">
        <v>518798</v>
      </c>
      <c r="E72" s="3" t="n">
        <v>506094</v>
      </c>
      <c r="F72" s="3" t="n">
        <v>529005</v>
      </c>
      <c r="G72" s="3" t="n">
        <v>1884943</v>
      </c>
    </row>
    <row r="73">
      <c r="A73" s="3" t="inlineStr">
        <is>
          <t>Sud Kivu</t>
        </is>
      </c>
      <c r="B73" s="3" t="n">
        <v>73299</v>
      </c>
      <c r="C73" s="3" t="n">
        <v>86085</v>
      </c>
      <c r="D73" s="3" t="n">
        <v>43937</v>
      </c>
      <c r="E73" s="3" t="n">
        <v>157857</v>
      </c>
      <c r="F73" s="3" t="n">
        <v>249892</v>
      </c>
      <c r="G73" s="3" t="n">
        <v>611070</v>
      </c>
    </row>
    <row r="74">
      <c r="A74" s="3" t="inlineStr">
        <is>
          <t>Ituri</t>
        </is>
      </c>
      <c r="B74" s="3" t="n">
        <v>80840</v>
      </c>
      <c r="C74" s="3" t="n">
        <v>71915</v>
      </c>
      <c r="D74" s="3" t="n">
        <v>89373</v>
      </c>
      <c r="E74" s="3" t="n">
        <v>65857</v>
      </c>
      <c r="F74" s="3" t="n">
        <v>99379</v>
      </c>
      <c r="G74" s="3" t="n">
        <v>407364</v>
      </c>
    </row>
    <row r="75">
      <c r="A75" s="3" t="inlineStr">
        <is>
          <t>Kasaï-Oriental</t>
        </is>
      </c>
      <c r="B75" s="3" t="n">
        <v>0</v>
      </c>
      <c r="C75" s="3" t="n">
        <v>29981</v>
      </c>
      <c r="D75" s="3" t="n">
        <v>63514</v>
      </c>
      <c r="E75" s="3" t="n">
        <v>100289</v>
      </c>
      <c r="F75" s="3" t="n">
        <v>41134</v>
      </c>
      <c r="G75" s="3" t="n">
        <v>234918</v>
      </c>
    </row>
    <row r="76">
      <c r="A76" s="3" t="inlineStr">
        <is>
          <t>Haut-Lomami</t>
        </is>
      </c>
      <c r="B76" s="3" t="n">
        <v>53590</v>
      </c>
      <c r="C76" s="3" t="n">
        <v>88217</v>
      </c>
      <c r="D76" s="3" t="n">
        <v>22038</v>
      </c>
      <c r="E76" s="3" t="n">
        <v>38372</v>
      </c>
      <c r="F76" s="3" t="n">
        <v>30638</v>
      </c>
      <c r="G76" s="3" t="n">
        <v>232855</v>
      </c>
    </row>
    <row r="77">
      <c r="A77" s="3" t="inlineStr">
        <is>
          <t>Kongo-Central</t>
        </is>
      </c>
      <c r="B77" s="3" t="n">
        <v>36705</v>
      </c>
      <c r="C77" s="3" t="n">
        <v>37948</v>
      </c>
      <c r="D77" s="3" t="n">
        <v>36952</v>
      </c>
      <c r="E77" s="3" t="n">
        <v>55654</v>
      </c>
      <c r="F77" s="3" t="n">
        <v>55346</v>
      </c>
      <c r="G77" s="3" t="n">
        <v>222605</v>
      </c>
    </row>
    <row r="78">
      <c r="A78" s="3" t="inlineStr">
        <is>
          <t>Kinshasa</t>
        </is>
      </c>
      <c r="B78" s="3" t="n">
        <v>23465</v>
      </c>
      <c r="C78" s="3" t="n">
        <v>25978</v>
      </c>
      <c r="D78" s="3" t="n">
        <v>25661</v>
      </c>
      <c r="E78" s="3" t="n">
        <v>146294</v>
      </c>
      <c r="F78" s="3" t="n">
        <v>0</v>
      </c>
      <c r="G78" s="3" t="n">
        <v>221398</v>
      </c>
    </row>
    <row r="79">
      <c r="A79" s="3" t="inlineStr">
        <is>
          <t>Kwilu</t>
        </is>
      </c>
      <c r="B79" s="3" t="n">
        <v>17971</v>
      </c>
      <c r="C79" s="3" t="n">
        <v>13775</v>
      </c>
      <c r="D79" s="3" t="n">
        <v>68148</v>
      </c>
      <c r="E79" s="3" t="n">
        <v>17617</v>
      </c>
      <c r="F79" s="3" t="n">
        <v>50966</v>
      </c>
      <c r="G79" s="3" t="n">
        <v>168477</v>
      </c>
    </row>
    <row r="80">
      <c r="A80" s="3" t="inlineStr">
        <is>
          <t>Kasaï-Central</t>
        </is>
      </c>
      <c r="B80" s="3" t="n">
        <v>5775</v>
      </c>
      <c r="C80" s="3" t="n">
        <v>6168</v>
      </c>
      <c r="D80" s="3" t="n">
        <v>0</v>
      </c>
      <c r="E80" s="3" t="n">
        <v>76049</v>
      </c>
      <c r="F80" s="3" t="n">
        <v>58977</v>
      </c>
      <c r="G80" s="3" t="n">
        <v>146969</v>
      </c>
    </row>
    <row r="81">
      <c r="A81" s="3" t="inlineStr">
        <is>
          <t>Bas-Uele</t>
        </is>
      </c>
      <c r="B81" s="3" t="n">
        <v>20936</v>
      </c>
      <c r="C81" s="3" t="n">
        <v>0</v>
      </c>
      <c r="D81" s="3" t="n">
        <v>13988</v>
      </c>
      <c r="E81" s="3" t="n">
        <v>45583</v>
      </c>
      <c r="F81" s="3" t="n">
        <v>58886</v>
      </c>
      <c r="G81" s="3" t="n">
        <v>139393</v>
      </c>
    </row>
    <row r="82">
      <c r="A82" s="3" t="inlineStr">
        <is>
          <t>Maniema</t>
        </is>
      </c>
      <c r="B82" s="3" t="n">
        <v>6683</v>
      </c>
      <c r="C82" s="3" t="n">
        <v>423</v>
      </c>
      <c r="D82" s="3" t="n">
        <v>66664</v>
      </c>
      <c r="E82" s="3" t="n">
        <v>457</v>
      </c>
      <c r="F82" s="3" t="n">
        <v>37215</v>
      </c>
      <c r="G82" s="3" t="n">
        <v>111442</v>
      </c>
    </row>
    <row r="83">
      <c r="A83" s="3" t="inlineStr">
        <is>
          <t>Haut-Uele</t>
        </is>
      </c>
      <c r="B83" s="3" t="n">
        <v>81905</v>
      </c>
      <c r="C83" s="3" t="n">
        <v>3366</v>
      </c>
      <c r="D83" s="3" t="n">
        <v>4135</v>
      </c>
      <c r="E83" s="3" t="n">
        <v>5288</v>
      </c>
      <c r="F83" s="3" t="n">
        <v>4463</v>
      </c>
      <c r="G83" s="3" t="n">
        <v>99157</v>
      </c>
    </row>
    <row r="84">
      <c r="A84" s="3" t="inlineStr">
        <is>
          <t>Nord-Kivu</t>
        </is>
      </c>
      <c r="B84" s="3" t="n">
        <v>10504</v>
      </c>
      <c r="C84" s="3" t="n">
        <v>45690</v>
      </c>
      <c r="D84" s="3" t="n">
        <v>27723</v>
      </c>
      <c r="E84" s="3" t="n">
        <v>6234</v>
      </c>
      <c r="F84" s="3" t="n">
        <v>6903</v>
      </c>
      <c r="G84" s="3" t="n">
        <v>97054</v>
      </c>
    </row>
    <row r="85">
      <c r="A85" s="3" t="inlineStr">
        <is>
          <t>Tshopo</t>
        </is>
      </c>
      <c r="B85" s="3" t="n">
        <v>10529</v>
      </c>
      <c r="C85" s="3" t="n">
        <v>0</v>
      </c>
      <c r="D85" s="3" t="n">
        <v>0</v>
      </c>
      <c r="E85" s="3" t="n">
        <v>54990</v>
      </c>
      <c r="F85" s="3" t="n">
        <v>19641</v>
      </c>
      <c r="G85" s="3" t="n">
        <v>85160</v>
      </c>
    </row>
    <row r="86">
      <c r="A86" s="3" t="inlineStr">
        <is>
          <t>Mongala</t>
        </is>
      </c>
      <c r="B86" s="3" t="n">
        <v>8699</v>
      </c>
      <c r="C86" s="3" t="n">
        <v>10347</v>
      </c>
      <c r="D86" s="3" t="n">
        <v>5860</v>
      </c>
      <c r="E86" s="3" t="n">
        <v>30991</v>
      </c>
      <c r="F86" s="3" t="n">
        <v>113</v>
      </c>
      <c r="G86" s="3" t="n">
        <v>56010</v>
      </c>
    </row>
    <row r="87">
      <c r="A87" s="3" t="inlineStr">
        <is>
          <t>Sud-Ubangi</t>
        </is>
      </c>
      <c r="B87" s="3" t="n">
        <v>9978</v>
      </c>
      <c r="C87" s="3" t="n">
        <v>9726</v>
      </c>
      <c r="D87" s="3" t="n">
        <v>5760</v>
      </c>
      <c r="E87" s="3" t="n">
        <v>25779</v>
      </c>
      <c r="F87" s="3" t="n">
        <v>292</v>
      </c>
      <c r="G87" s="3" t="n">
        <v>51535</v>
      </c>
    </row>
    <row r="88">
      <c r="A88" s="3" t="inlineStr">
        <is>
          <t>Kwango</t>
        </is>
      </c>
      <c r="B88" s="3" t="n">
        <v>9233</v>
      </c>
      <c r="C88" s="3" t="n">
        <v>9082</v>
      </c>
      <c r="D88" s="3" t="n">
        <v>10724</v>
      </c>
      <c r="E88" s="3" t="n">
        <v>8435</v>
      </c>
      <c r="F88" s="3" t="n">
        <v>11435</v>
      </c>
      <c r="G88" s="3" t="n">
        <v>48909</v>
      </c>
    </row>
    <row r="89">
      <c r="A89" s="3" t="inlineStr">
        <is>
          <t>Lualaba</t>
        </is>
      </c>
      <c r="B89" s="3" t="n">
        <v>6713</v>
      </c>
      <c r="C89" s="3" t="n">
        <v>7204</v>
      </c>
      <c r="D89" s="3" t="n">
        <v>1839</v>
      </c>
      <c r="E89" s="3" t="n">
        <v>6496</v>
      </c>
      <c r="F89" s="3" t="n">
        <v>22570</v>
      </c>
      <c r="G89" s="3" t="n">
        <v>44822</v>
      </c>
    </row>
    <row r="90">
      <c r="A90" s="3" t="inlineStr">
        <is>
          <t>Lomami</t>
        </is>
      </c>
      <c r="B90" s="3" t="n">
        <v>0</v>
      </c>
      <c r="C90" s="3" t="n">
        <v>2057</v>
      </c>
      <c r="D90" s="3" t="n">
        <v>0</v>
      </c>
      <c r="E90" s="3" t="n">
        <v>17656</v>
      </c>
      <c r="F90" s="3" t="n">
        <v>11728</v>
      </c>
      <c r="G90" s="3" t="n">
        <v>31441</v>
      </c>
    </row>
    <row r="91">
      <c r="A91" s="3" t="inlineStr">
        <is>
          <t>Équateur</t>
        </is>
      </c>
      <c r="B91" s="3" t="n">
        <v>4899</v>
      </c>
      <c r="C91" s="3" t="n">
        <v>2659</v>
      </c>
      <c r="D91" s="3" t="n">
        <v>0</v>
      </c>
      <c r="E91" s="3" t="n">
        <v>12668</v>
      </c>
      <c r="F91" s="3" t="n">
        <v>9695</v>
      </c>
      <c r="G91" s="3" t="n">
        <v>29921</v>
      </c>
    </row>
    <row r="92">
      <c r="A92" s="3" t="inlineStr">
        <is>
          <t>Mai-Ndombe</t>
        </is>
      </c>
      <c r="B92" s="3" t="n">
        <v>3807</v>
      </c>
      <c r="C92" s="3" t="n">
        <v>5983</v>
      </c>
      <c r="D92" s="3" t="n">
        <v>6554</v>
      </c>
      <c r="E92" s="3" t="n">
        <v>6550</v>
      </c>
      <c r="F92" s="3" t="n">
        <v>6952</v>
      </c>
      <c r="G92" s="3" t="n">
        <v>29846</v>
      </c>
    </row>
    <row r="93">
      <c r="A93" s="3" t="inlineStr">
        <is>
          <t>Nord-Ubangi</t>
        </is>
      </c>
      <c r="B93" s="3" t="n">
        <v>4220</v>
      </c>
      <c r="C93" s="3" t="n">
        <v>361</v>
      </c>
      <c r="D93" s="3" t="n">
        <v>363</v>
      </c>
      <c r="E93" s="3" t="n">
        <v>403</v>
      </c>
      <c r="F93" s="3" t="n">
        <v>18802</v>
      </c>
      <c r="G93" s="3" t="n">
        <v>24149</v>
      </c>
    </row>
    <row r="94">
      <c r="A94" s="3" t="inlineStr">
        <is>
          <t>Tshuapa</t>
        </is>
      </c>
      <c r="B94" s="3" t="n">
        <v>13062</v>
      </c>
      <c r="C94" s="3" t="n">
        <v>5431</v>
      </c>
      <c r="D94" s="3" t="n">
        <v>5384</v>
      </c>
      <c r="E94" s="3" t="n">
        <v>0</v>
      </c>
      <c r="F94" s="3" t="n">
        <v>206</v>
      </c>
      <c r="G94" s="3" t="n">
        <v>24083</v>
      </c>
    </row>
    <row r="95">
      <c r="A95" s="3" t="inlineStr">
        <is>
          <t>Kasaï</t>
        </is>
      </c>
      <c r="B95" s="3" t="n">
        <v>750</v>
      </c>
      <c r="C95" s="3" t="n">
        <v>1004</v>
      </c>
      <c r="D95" s="3" t="n">
        <v>0</v>
      </c>
      <c r="E95" s="3" t="n">
        <v>7049</v>
      </c>
      <c r="F95" s="3" t="n">
        <v>2483</v>
      </c>
      <c r="G95" s="3" t="n">
        <v>11286</v>
      </c>
    </row>
    <row r="96">
      <c r="A96" s="3" t="inlineStr">
        <is>
          <t>Sankuru</t>
        </is>
      </c>
      <c r="B96" s="3" t="n">
        <v>0</v>
      </c>
      <c r="C96" s="3" t="n">
        <v>0</v>
      </c>
      <c r="D96" s="3" t="n">
        <v>22</v>
      </c>
      <c r="E96" s="3" t="n">
        <v>161</v>
      </c>
      <c r="F96" s="3" t="n">
        <v>10083</v>
      </c>
      <c r="G96" s="3" t="n">
        <v>10266</v>
      </c>
    </row>
    <row r="97">
      <c r="A97" s="3" t="inlineStr">
        <is>
          <t>Tanganyika</t>
        </is>
      </c>
      <c r="B97" s="3" t="n">
        <v>1471</v>
      </c>
      <c r="C97" s="3" t="n">
        <v>977</v>
      </c>
      <c r="D97" s="3" t="n">
        <v>1677</v>
      </c>
      <c r="E97" s="3" t="n">
        <v>247</v>
      </c>
      <c r="F97" s="3" t="n">
        <v>239</v>
      </c>
      <c r="G97" s="3" t="n">
        <v>4611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5" customWidth="1" min="3" max="3"/>
    <col width="12" customWidth="1" min="4" max="4"/>
  </cols>
  <sheetData>
    <row r="1">
      <c r="A1" s="12" t="inlineStr">
        <is>
          <t>ANALYSE: Nombre  de PVVIH sous TAR qui ont supprimée la charge virale</t>
        </is>
      </c>
    </row>
    <row r="3">
      <c r="A3" s="13" t="inlineStr">
        <is>
          <t>TOTAL</t>
        </is>
      </c>
      <c r="B3" s="14" t="n">
        <v>520142</v>
      </c>
    </row>
    <row r="5">
      <c r="A5" s="15" t="inlineStr">
        <is>
          <t>Analyse par Année</t>
        </is>
      </c>
    </row>
    <row r="6">
      <c r="A6" s="11" t="inlineStr">
        <is>
          <t>Année</t>
        </is>
      </c>
      <c r="B6" s="11" t="inlineStr">
        <is>
          <t>Valeur</t>
        </is>
      </c>
      <c r="C6" s="11" t="inlineStr">
        <is>
          <t>Croissance (%)</t>
        </is>
      </c>
    </row>
    <row r="7">
      <c r="A7" s="3" t="n">
        <v>2020</v>
      </c>
      <c r="B7" s="3" t="n">
        <v>86902</v>
      </c>
      <c r="C7" s="3" t="n">
        <v>0</v>
      </c>
    </row>
    <row r="8">
      <c r="A8" s="3" t="n">
        <v>2021</v>
      </c>
      <c r="B8" s="3" t="n">
        <v>85412</v>
      </c>
      <c r="C8" s="3" t="n">
        <v>-1.71</v>
      </c>
    </row>
    <row r="9">
      <c r="A9" s="3" t="n">
        <v>2022</v>
      </c>
      <c r="B9" s="3" t="n">
        <v>202792</v>
      </c>
      <c r="C9" s="3" t="n">
        <v>137.43</v>
      </c>
    </row>
    <row r="10">
      <c r="A10" s="3" t="n">
        <v>2023</v>
      </c>
      <c r="B10" s="3" t="n">
        <v>74865</v>
      </c>
      <c r="C10" s="3" t="n">
        <v>-63.08</v>
      </c>
    </row>
    <row r="11">
      <c r="A11" s="3" t="n">
        <v>2024</v>
      </c>
      <c r="B11" s="3" t="n">
        <v>70171</v>
      </c>
      <c r="C11" s="3" t="n">
        <v>-6.27</v>
      </c>
    </row>
    <row r="14">
      <c r="A14" s="15" t="inlineStr">
        <is>
          <t>Analyse par Province</t>
        </is>
      </c>
    </row>
    <row r="15">
      <c r="A15" s="11" t="inlineStr">
        <is>
          <t>Rang</t>
        </is>
      </c>
      <c r="B15" s="11" t="inlineStr">
        <is>
          <t>Province</t>
        </is>
      </c>
      <c r="C15" s="11" t="inlineStr">
        <is>
          <t>Valeur</t>
        </is>
      </c>
      <c r="D15" s="11" t="inlineStr">
        <is>
          <t>% du Total</t>
        </is>
      </c>
    </row>
    <row r="16">
      <c r="A16" s="3" t="n">
        <v>1</v>
      </c>
      <c r="B16" s="3" t="inlineStr">
        <is>
          <t>Haut-Katanga</t>
        </is>
      </c>
      <c r="C16" s="3" t="n">
        <v>278193</v>
      </c>
      <c r="D16" s="3" t="n">
        <v>53.48</v>
      </c>
    </row>
    <row r="17">
      <c r="A17" s="3" t="n">
        <v>2</v>
      </c>
      <c r="B17" s="3" t="inlineStr">
        <is>
          <t>Kinshasa</t>
        </is>
      </c>
      <c r="C17" s="3" t="n">
        <v>176468</v>
      </c>
      <c r="D17" s="3" t="n">
        <v>33.93</v>
      </c>
    </row>
    <row r="18">
      <c r="A18" s="3" t="n">
        <v>3</v>
      </c>
      <c r="B18" s="3" t="inlineStr">
        <is>
          <t>Nord-Kivu</t>
        </is>
      </c>
      <c r="C18" s="3" t="n">
        <v>22933</v>
      </c>
      <c r="D18" s="3" t="n">
        <v>4.41</v>
      </c>
    </row>
    <row r="19">
      <c r="A19" s="3" t="n">
        <v>4</v>
      </c>
      <c r="B19" s="3" t="inlineStr">
        <is>
          <t>Lualaba</t>
        </is>
      </c>
      <c r="C19" s="3" t="n">
        <v>19652</v>
      </c>
      <c r="D19" s="3" t="n">
        <v>3.78</v>
      </c>
    </row>
    <row r="20">
      <c r="A20" s="3" t="n">
        <v>5</v>
      </c>
      <c r="B20" s="3" t="inlineStr">
        <is>
          <t>Haut-Uele</t>
        </is>
      </c>
      <c r="C20" s="3" t="n">
        <v>6423</v>
      </c>
      <c r="D20" s="3" t="n">
        <v>1.23</v>
      </c>
    </row>
    <row r="21">
      <c r="A21" s="3" t="n">
        <v>6</v>
      </c>
      <c r="B21" s="3" t="inlineStr">
        <is>
          <t>Sud Kivu</t>
        </is>
      </c>
      <c r="C21" s="3" t="n">
        <v>3837</v>
      </c>
      <c r="D21" s="3" t="n">
        <v>0.74</v>
      </c>
    </row>
    <row r="22">
      <c r="A22" s="3" t="n">
        <v>7</v>
      </c>
      <c r="B22" s="3" t="inlineStr">
        <is>
          <t>Kasaï-Oriental</t>
        </is>
      </c>
      <c r="C22" s="3" t="n">
        <v>3360</v>
      </c>
      <c r="D22" s="3" t="n">
        <v>0.65</v>
      </c>
    </row>
    <row r="23">
      <c r="A23" s="3" t="n">
        <v>8</v>
      </c>
      <c r="B23" s="3" t="inlineStr">
        <is>
          <t>Équateur</t>
        </is>
      </c>
      <c r="C23" s="3" t="n">
        <v>1884</v>
      </c>
      <c r="D23" s="3" t="n">
        <v>0.36</v>
      </c>
    </row>
    <row r="24">
      <c r="A24" s="3" t="n">
        <v>9</v>
      </c>
      <c r="B24" s="3" t="inlineStr">
        <is>
          <t>Kongo-Central</t>
        </is>
      </c>
      <c r="C24" s="3" t="n">
        <v>1491</v>
      </c>
      <c r="D24" s="3" t="n">
        <v>0.29</v>
      </c>
    </row>
    <row r="25">
      <c r="A25" s="3" t="n">
        <v>10</v>
      </c>
      <c r="B25" s="3" t="inlineStr">
        <is>
          <t>Tshopo</t>
        </is>
      </c>
      <c r="C25" s="3" t="n">
        <v>1290</v>
      </c>
      <c r="D25" s="3" t="n">
        <v>0.25</v>
      </c>
    </row>
    <row r="26">
      <c r="A26" s="3" t="n">
        <v>11</v>
      </c>
      <c r="B26" s="3" t="inlineStr">
        <is>
          <t>Ituri</t>
        </is>
      </c>
      <c r="C26" s="3" t="n">
        <v>1078</v>
      </c>
      <c r="D26" s="3" t="n">
        <v>0.21</v>
      </c>
    </row>
    <row r="27">
      <c r="A27" s="3" t="n">
        <v>12</v>
      </c>
      <c r="B27" s="3" t="inlineStr">
        <is>
          <t>Kasaï-Central</t>
        </is>
      </c>
      <c r="C27" s="3" t="n">
        <v>990</v>
      </c>
      <c r="D27" s="3" t="n">
        <v>0.19</v>
      </c>
    </row>
    <row r="28">
      <c r="A28" s="3" t="n">
        <v>13</v>
      </c>
      <c r="B28" s="3" t="inlineStr">
        <is>
          <t>Kwilu</t>
        </is>
      </c>
      <c r="C28" s="3" t="n">
        <v>646</v>
      </c>
      <c r="D28" s="3" t="n">
        <v>0.12</v>
      </c>
    </row>
    <row r="29">
      <c r="A29" s="3" t="n">
        <v>14</v>
      </c>
      <c r="B29" s="3" t="inlineStr">
        <is>
          <t>Sud-Ubangi</t>
        </is>
      </c>
      <c r="C29" s="3" t="n">
        <v>316</v>
      </c>
      <c r="D29" s="3" t="n">
        <v>0.06</v>
      </c>
    </row>
    <row r="30">
      <c r="A30" s="3" t="n">
        <v>15</v>
      </c>
      <c r="B30" s="3" t="inlineStr">
        <is>
          <t>Haut-Lomami</t>
        </is>
      </c>
      <c r="C30" s="3" t="n">
        <v>267</v>
      </c>
      <c r="D30" s="3" t="n">
        <v>0.05</v>
      </c>
    </row>
    <row r="31">
      <c r="A31" s="3" t="n">
        <v>16</v>
      </c>
      <c r="B31" s="3" t="inlineStr">
        <is>
          <t>Tanganyika</t>
        </is>
      </c>
      <c r="C31" s="3" t="n">
        <v>256</v>
      </c>
      <c r="D31" s="3" t="n">
        <v>0.05</v>
      </c>
    </row>
    <row r="32">
      <c r="A32" s="3" t="n">
        <v>17</v>
      </c>
      <c r="B32" s="3" t="inlineStr">
        <is>
          <t>Kasaï</t>
        </is>
      </c>
      <c r="C32" s="3" t="n">
        <v>197</v>
      </c>
      <c r="D32" s="3" t="n">
        <v>0.04</v>
      </c>
    </row>
    <row r="33">
      <c r="A33" s="3" t="n">
        <v>18</v>
      </c>
      <c r="B33" s="3" t="inlineStr">
        <is>
          <t>Lomami</t>
        </is>
      </c>
      <c r="C33" s="3" t="n">
        <v>196</v>
      </c>
      <c r="D33" s="3" t="n">
        <v>0.04</v>
      </c>
    </row>
    <row r="34">
      <c r="A34" s="3" t="n">
        <v>19</v>
      </c>
      <c r="B34" s="3" t="inlineStr">
        <is>
          <t>Mai-Ndombe</t>
        </is>
      </c>
      <c r="C34" s="3" t="n">
        <v>186</v>
      </c>
      <c r="D34" s="3" t="n">
        <v>0.04</v>
      </c>
    </row>
    <row r="35">
      <c r="A35" s="3" t="n">
        <v>20</v>
      </c>
      <c r="B35" s="3" t="inlineStr">
        <is>
          <t>Nord-Ubangi</t>
        </is>
      </c>
      <c r="C35" s="3" t="n">
        <v>158</v>
      </c>
      <c r="D35" s="3" t="n">
        <v>0.03</v>
      </c>
    </row>
    <row r="36">
      <c r="A36" s="3" t="n">
        <v>21</v>
      </c>
      <c r="B36" s="3" t="inlineStr">
        <is>
          <t>Bas-Uele</t>
        </is>
      </c>
      <c r="C36" s="3" t="n">
        <v>150</v>
      </c>
      <c r="D36" s="3" t="n">
        <v>0.03</v>
      </c>
    </row>
    <row r="37">
      <c r="A37" s="3" t="n">
        <v>22</v>
      </c>
      <c r="B37" s="3" t="inlineStr">
        <is>
          <t>Maniema</t>
        </is>
      </c>
      <c r="C37" s="3" t="n">
        <v>130</v>
      </c>
      <c r="D37" s="3" t="n">
        <v>0.02</v>
      </c>
    </row>
    <row r="38">
      <c r="A38" s="3" t="n">
        <v>23</v>
      </c>
      <c r="B38" s="3" t="inlineStr">
        <is>
          <t>Kwango</t>
        </is>
      </c>
      <c r="C38" s="3" t="n">
        <v>36</v>
      </c>
      <c r="D38" s="3" t="n">
        <v>0.01</v>
      </c>
    </row>
    <row r="39">
      <c r="A39" s="3" t="n">
        <v>24</v>
      </c>
      <c r="B39" s="3" t="inlineStr">
        <is>
          <t>Tshuapa</t>
        </is>
      </c>
      <c r="C39" s="3" t="n">
        <v>5</v>
      </c>
      <c r="D39" s="3" t="n">
        <v>0</v>
      </c>
    </row>
    <row r="42">
      <c r="A42" s="15" t="inlineStr">
        <is>
          <t>Analyse par Trimestre</t>
        </is>
      </c>
    </row>
    <row r="43">
      <c r="A43" s="11" t="inlineStr">
        <is>
          <t>Trimestre</t>
        </is>
      </c>
      <c r="B43" s="11" t="inlineStr">
        <is>
          <t>Valeur</t>
        </is>
      </c>
      <c r="C43" s="11" t="inlineStr">
        <is>
          <t>% du Total</t>
        </is>
      </c>
    </row>
    <row r="44">
      <c r="A44" s="3" t="inlineStr">
        <is>
          <t>T1</t>
        </is>
      </c>
      <c r="B44" s="3" t="n">
        <v>143809</v>
      </c>
      <c r="C44" s="3" t="n">
        <v>27.65</v>
      </c>
    </row>
    <row r="45">
      <c r="A45" s="3" t="inlineStr">
        <is>
          <t>T2</t>
        </is>
      </c>
      <c r="B45" s="3" t="n">
        <v>139413</v>
      </c>
      <c r="C45" s="3" t="n">
        <v>26.8</v>
      </c>
    </row>
    <row r="46">
      <c r="A46" s="3" t="inlineStr">
        <is>
          <t>T3</t>
        </is>
      </c>
      <c r="B46" s="3" t="n">
        <v>123351</v>
      </c>
      <c r="C46" s="3" t="n">
        <v>23.71</v>
      </c>
    </row>
    <row r="47">
      <c r="A47" s="3" t="inlineStr">
        <is>
          <t>T4</t>
        </is>
      </c>
      <c r="B47" s="3" t="n">
        <v>113569</v>
      </c>
      <c r="C47" s="3" t="n">
        <v>21.83</v>
      </c>
    </row>
    <row r="50">
      <c r="A50" s="15" t="inlineStr">
        <is>
          <t>Analyse par Sexe</t>
        </is>
      </c>
    </row>
    <row r="51">
      <c r="A51" s="11" t="inlineStr">
        <is>
          <t>Sexe</t>
        </is>
      </c>
      <c r="B51" s="11" t="inlineStr">
        <is>
          <t>Valeur</t>
        </is>
      </c>
      <c r="C51" s="11" t="inlineStr">
        <is>
          <t>% du Total</t>
        </is>
      </c>
    </row>
    <row r="52">
      <c r="A52" s="3" t="inlineStr">
        <is>
          <t>Féminin</t>
        </is>
      </c>
      <c r="B52" s="3" t="n">
        <v>328879</v>
      </c>
      <c r="C52" s="3" t="n">
        <v>63.23</v>
      </c>
    </row>
    <row r="53">
      <c r="A53" s="3" t="inlineStr">
        <is>
          <t>Masculin</t>
        </is>
      </c>
      <c r="B53" s="3" t="n">
        <v>191263</v>
      </c>
      <c r="C53" s="3" t="n">
        <v>36.77</v>
      </c>
    </row>
    <row r="56">
      <c r="A56" s="15" t="inlineStr">
        <is>
          <t>Analyse par Tranche d'Âge</t>
        </is>
      </c>
    </row>
    <row r="57">
      <c r="A57" s="11" t="inlineStr">
        <is>
          <t>Tranche d'Âge</t>
        </is>
      </c>
      <c r="B57" s="11" t="inlineStr">
        <is>
          <t>Valeur</t>
        </is>
      </c>
      <c r="C57" s="11" t="inlineStr">
        <is>
          <t>% du Total</t>
        </is>
      </c>
    </row>
    <row r="58">
      <c r="A58" s="3" t="inlineStr">
        <is>
          <t>15 à 19 ans</t>
        </is>
      </c>
      <c r="B58" s="3" t="n">
        <v>5</v>
      </c>
      <c r="C58" s="3" t="n">
        <v>0</v>
      </c>
    </row>
    <row r="59">
      <c r="A59" s="3" t="inlineStr">
        <is>
          <t>20 à 24 ans</t>
        </is>
      </c>
      <c r="B59" s="3" t="n">
        <v>11204</v>
      </c>
      <c r="C59" s="3" t="n">
        <v>2.15</v>
      </c>
    </row>
    <row r="60">
      <c r="A60" s="3" t="inlineStr">
        <is>
          <t>25 à 49 ans</t>
        </is>
      </c>
      <c r="B60" s="3" t="n">
        <v>10272</v>
      </c>
      <c r="C60" s="3" t="n">
        <v>1.97</v>
      </c>
    </row>
    <row r="61">
      <c r="A61" s="3" t="inlineStr">
        <is>
          <t>&lt; 15 ans</t>
        </is>
      </c>
      <c r="B61" s="3" t="n">
        <v>36869</v>
      </c>
      <c r="C61" s="3" t="n">
        <v>7.09</v>
      </c>
    </row>
    <row r="62">
      <c r="A62" s="3" t="inlineStr">
        <is>
          <t>&gt;= 15 ans</t>
        </is>
      </c>
      <c r="B62" s="3" t="n">
        <v>461761</v>
      </c>
      <c r="C62" s="3" t="n">
        <v>88.78</v>
      </c>
    </row>
    <row r="63">
      <c r="A63" s="3" t="inlineStr">
        <is>
          <t>&gt;= 50 ans</t>
        </is>
      </c>
      <c r="B63" s="3" t="n">
        <v>31</v>
      </c>
      <c r="C63" s="3" t="n">
        <v>0.01</v>
      </c>
    </row>
    <row r="66">
      <c r="A66" s="15" t="inlineStr">
        <is>
          <t>Tableau Croisé: Province × Année</t>
        </is>
      </c>
    </row>
    <row r="67">
      <c r="A67" s="11" t="inlineStr">
        <is>
          <t>provinces</t>
        </is>
      </c>
      <c r="B67" s="11" t="inlineStr">
        <is>
          <t>2020</t>
        </is>
      </c>
      <c r="C67" s="11" t="inlineStr">
        <is>
          <t>2021</t>
        </is>
      </c>
      <c r="D67" s="11" t="inlineStr">
        <is>
          <t>2022</t>
        </is>
      </c>
      <c r="E67" s="11" t="inlineStr">
        <is>
          <t>2023</t>
        </is>
      </c>
      <c r="F67" s="11" t="inlineStr">
        <is>
          <t>2024</t>
        </is>
      </c>
      <c r="G67" s="11" t="inlineStr">
        <is>
          <t>TOTAL</t>
        </is>
      </c>
    </row>
    <row r="68">
      <c r="A68" s="3" t="inlineStr">
        <is>
          <t>Haut-Katanga</t>
        </is>
      </c>
      <c r="B68" s="3" t="n">
        <v>38792</v>
      </c>
      <c r="C68" s="3" t="n">
        <v>33593</v>
      </c>
      <c r="D68" s="3" t="n">
        <v>134091</v>
      </c>
      <c r="E68" s="3" t="n">
        <v>11949</v>
      </c>
      <c r="F68" s="3" t="n">
        <v>59768</v>
      </c>
      <c r="G68" s="3" t="n">
        <v>278193</v>
      </c>
    </row>
    <row r="69">
      <c r="A69" s="3" t="inlineStr">
        <is>
          <t>Kinshasa</t>
        </is>
      </c>
      <c r="B69" s="3" t="n">
        <v>31858</v>
      </c>
      <c r="C69" s="3" t="n">
        <v>37569</v>
      </c>
      <c r="D69" s="3" t="n">
        <v>53348</v>
      </c>
      <c r="E69" s="3" t="n">
        <v>53693</v>
      </c>
      <c r="F69" s="3" t="n">
        <v>0</v>
      </c>
      <c r="G69" s="3" t="n">
        <v>176468</v>
      </c>
    </row>
    <row r="70">
      <c r="A70" s="3" t="inlineStr">
        <is>
          <t>Nord-Kivu</t>
        </is>
      </c>
      <c r="B70" s="3" t="n">
        <v>9512</v>
      </c>
      <c r="C70" s="3" t="n">
        <v>2699</v>
      </c>
      <c r="D70" s="3" t="n">
        <v>8238</v>
      </c>
      <c r="E70" s="3" t="n">
        <v>2253</v>
      </c>
      <c r="F70" s="3" t="n">
        <v>231</v>
      </c>
      <c r="G70" s="3" t="n">
        <v>22933</v>
      </c>
    </row>
    <row r="71">
      <c r="A71" s="3" t="inlineStr">
        <is>
          <t>Lualaba</t>
        </is>
      </c>
      <c r="B71" s="3" t="n">
        <v>4378</v>
      </c>
      <c r="C71" s="3" t="n">
        <v>8306</v>
      </c>
      <c r="D71" s="3" t="n">
        <v>0</v>
      </c>
      <c r="E71" s="3" t="n">
        <v>1966</v>
      </c>
      <c r="F71" s="3" t="n">
        <v>5002</v>
      </c>
      <c r="G71" s="3" t="n">
        <v>19652</v>
      </c>
    </row>
    <row r="72">
      <c r="A72" s="3" t="inlineStr">
        <is>
          <t>Haut-Uele</t>
        </is>
      </c>
      <c r="B72" s="3" t="n">
        <v>84</v>
      </c>
      <c r="C72" s="3" t="n">
        <v>0</v>
      </c>
      <c r="D72" s="3" t="n">
        <v>4958</v>
      </c>
      <c r="E72" s="3" t="n">
        <v>622</v>
      </c>
      <c r="F72" s="3" t="n">
        <v>759</v>
      </c>
      <c r="G72" s="3" t="n">
        <v>6423</v>
      </c>
    </row>
    <row r="73">
      <c r="A73" s="3" t="inlineStr">
        <is>
          <t>Sud Kivu</t>
        </is>
      </c>
      <c r="B73" s="3" t="n">
        <v>939</v>
      </c>
      <c r="C73" s="3" t="n">
        <v>686</v>
      </c>
      <c r="D73" s="3" t="n">
        <v>551</v>
      </c>
      <c r="E73" s="3" t="n">
        <v>690</v>
      </c>
      <c r="F73" s="3" t="n">
        <v>971</v>
      </c>
      <c r="G73" s="3" t="n">
        <v>3837</v>
      </c>
    </row>
    <row r="74">
      <c r="A74" s="3" t="inlineStr">
        <is>
          <t>Kasaï-Oriental</t>
        </is>
      </c>
      <c r="B74" s="3" t="n">
        <v>670</v>
      </c>
      <c r="C74" s="3" t="n">
        <v>729</v>
      </c>
      <c r="D74" s="3" t="n">
        <v>978</v>
      </c>
      <c r="E74" s="3" t="n">
        <v>983</v>
      </c>
      <c r="F74" s="3" t="n">
        <v>0</v>
      </c>
      <c r="G74" s="3" t="n">
        <v>3360</v>
      </c>
    </row>
    <row r="75">
      <c r="A75" s="3" t="inlineStr">
        <is>
          <t>Équateur</t>
        </is>
      </c>
      <c r="B75" s="3" t="n">
        <v>477</v>
      </c>
      <c r="C75" s="3" t="n">
        <v>0</v>
      </c>
      <c r="D75" s="3" t="n">
        <v>0</v>
      </c>
      <c r="E75" s="3" t="n">
        <v>1031</v>
      </c>
      <c r="F75" s="3" t="n">
        <v>376</v>
      </c>
      <c r="G75" s="3" t="n">
        <v>1884</v>
      </c>
    </row>
    <row r="76">
      <c r="A76" s="3" t="inlineStr">
        <is>
          <t>Kongo-Central</t>
        </is>
      </c>
      <c r="B76" s="3" t="n">
        <v>0</v>
      </c>
      <c r="C76" s="3" t="n">
        <v>0</v>
      </c>
      <c r="D76" s="3" t="n">
        <v>0</v>
      </c>
      <c r="E76" s="3" t="n">
        <v>0</v>
      </c>
      <c r="F76" s="3" t="n">
        <v>1491</v>
      </c>
      <c r="G76" s="3" t="n">
        <v>1491</v>
      </c>
    </row>
    <row r="77">
      <c r="A77" s="3" t="inlineStr">
        <is>
          <t>Tshopo</t>
        </is>
      </c>
      <c r="B77" s="3" t="n">
        <v>0</v>
      </c>
      <c r="C77" s="3" t="n">
        <v>0</v>
      </c>
      <c r="D77" s="3" t="n">
        <v>0</v>
      </c>
      <c r="E77" s="3" t="n">
        <v>684</v>
      </c>
      <c r="F77" s="3" t="n">
        <v>606</v>
      </c>
      <c r="G77" s="3" t="n">
        <v>1290</v>
      </c>
    </row>
    <row r="78">
      <c r="A78" s="3" t="inlineStr">
        <is>
          <t>Ituri</t>
        </is>
      </c>
      <c r="B78" s="3" t="n">
        <v>161</v>
      </c>
      <c r="C78" s="3" t="n">
        <v>398</v>
      </c>
      <c r="D78" s="3" t="n">
        <v>248</v>
      </c>
      <c r="E78" s="3" t="n">
        <v>74</v>
      </c>
      <c r="F78" s="3" t="n">
        <v>197</v>
      </c>
      <c r="G78" s="3" t="n">
        <v>1078</v>
      </c>
    </row>
    <row r="79">
      <c r="A79" s="3" t="inlineStr">
        <is>
          <t>Kasaï-Central</t>
        </is>
      </c>
      <c r="B79" s="3" t="n">
        <v>0</v>
      </c>
      <c r="C79" s="3" t="n">
        <v>816</v>
      </c>
      <c r="D79" s="3" t="n">
        <v>0</v>
      </c>
      <c r="E79" s="3" t="n">
        <v>161</v>
      </c>
      <c r="F79" s="3" t="n">
        <v>13</v>
      </c>
      <c r="G79" s="3" t="n">
        <v>990</v>
      </c>
    </row>
    <row r="80">
      <c r="A80" s="3" t="inlineStr">
        <is>
          <t>Kwilu</t>
        </is>
      </c>
      <c r="B80" s="3" t="n">
        <v>4</v>
      </c>
      <c r="C80" s="3" t="n">
        <v>181</v>
      </c>
      <c r="D80" s="3" t="n">
        <v>172</v>
      </c>
      <c r="E80" s="3" t="n">
        <v>195</v>
      </c>
      <c r="F80" s="3" t="n">
        <v>94</v>
      </c>
      <c r="G80" s="3" t="n">
        <v>646</v>
      </c>
    </row>
    <row r="81">
      <c r="A81" s="3" t="inlineStr">
        <is>
          <t>Sud-Ubangi</t>
        </is>
      </c>
      <c r="B81" s="3" t="n">
        <v>1</v>
      </c>
      <c r="C81" s="3" t="n">
        <v>246</v>
      </c>
      <c r="D81" s="3" t="n">
        <v>63</v>
      </c>
      <c r="E81" s="3" t="n">
        <v>0</v>
      </c>
      <c r="F81" s="3" t="n">
        <v>6</v>
      </c>
      <c r="G81" s="3" t="n">
        <v>316</v>
      </c>
    </row>
    <row r="82">
      <c r="A82" s="3" t="inlineStr">
        <is>
          <t>Haut-Lomami</t>
        </is>
      </c>
      <c r="B82" s="3" t="n">
        <v>1</v>
      </c>
      <c r="C82" s="3" t="n">
        <v>18</v>
      </c>
      <c r="D82" s="3" t="n">
        <v>0</v>
      </c>
      <c r="E82" s="3" t="n">
        <v>172</v>
      </c>
      <c r="F82" s="3" t="n">
        <v>76</v>
      </c>
      <c r="G82" s="3" t="n">
        <v>267</v>
      </c>
    </row>
    <row r="83">
      <c r="A83" s="3" t="inlineStr">
        <is>
          <t>Tanganyika</t>
        </is>
      </c>
      <c r="B83" s="3" t="n">
        <v>0</v>
      </c>
      <c r="C83" s="3" t="n">
        <v>120</v>
      </c>
      <c r="D83" s="3" t="n">
        <v>35</v>
      </c>
      <c r="E83" s="3" t="n">
        <v>71</v>
      </c>
      <c r="F83" s="3" t="n">
        <v>30</v>
      </c>
      <c r="G83" s="3" t="n">
        <v>256</v>
      </c>
    </row>
    <row r="84">
      <c r="A84" s="3" t="inlineStr">
        <is>
          <t>Kasaï</t>
        </is>
      </c>
      <c r="B84" s="3" t="n">
        <v>0</v>
      </c>
      <c r="C84" s="3" t="n">
        <v>0</v>
      </c>
      <c r="D84" s="3" t="n">
        <v>0</v>
      </c>
      <c r="E84" s="3" t="n">
        <v>47</v>
      </c>
      <c r="F84" s="3" t="n">
        <v>150</v>
      </c>
      <c r="G84" s="3" t="n">
        <v>197</v>
      </c>
    </row>
    <row r="85">
      <c r="A85" s="3" t="inlineStr">
        <is>
          <t>Lomami</t>
        </is>
      </c>
      <c r="B85" s="3" t="n">
        <v>0</v>
      </c>
      <c r="C85" s="3" t="n">
        <v>0</v>
      </c>
      <c r="D85" s="3" t="n">
        <v>0</v>
      </c>
      <c r="E85" s="3" t="n">
        <v>111</v>
      </c>
      <c r="F85" s="3" t="n">
        <v>85</v>
      </c>
      <c r="G85" s="3" t="n">
        <v>196</v>
      </c>
    </row>
    <row r="86">
      <c r="A86" s="3" t="inlineStr">
        <is>
          <t>Mai-Ndombe</t>
        </is>
      </c>
      <c r="B86" s="3" t="n">
        <v>0</v>
      </c>
      <c r="C86" s="3" t="n">
        <v>14</v>
      </c>
      <c r="D86" s="3" t="n">
        <v>49</v>
      </c>
      <c r="E86" s="3" t="n">
        <v>76</v>
      </c>
      <c r="F86" s="3" t="n">
        <v>47</v>
      </c>
      <c r="G86" s="3" t="n">
        <v>186</v>
      </c>
    </row>
    <row r="87">
      <c r="A87" s="3" t="inlineStr">
        <is>
          <t>Nord-Ubangi</t>
        </is>
      </c>
      <c r="B87" s="3" t="n">
        <v>21</v>
      </c>
      <c r="C87" s="3" t="n">
        <v>26</v>
      </c>
      <c r="D87" s="3" t="n">
        <v>59</v>
      </c>
      <c r="E87" s="3" t="n">
        <v>10</v>
      </c>
      <c r="F87" s="3" t="n">
        <v>42</v>
      </c>
      <c r="G87" s="3" t="n">
        <v>158</v>
      </c>
    </row>
    <row r="88">
      <c r="A88" s="3" t="inlineStr">
        <is>
          <t>Bas-Uele</t>
        </is>
      </c>
      <c r="B88" s="3" t="n">
        <v>0</v>
      </c>
      <c r="C88" s="3" t="n">
        <v>0</v>
      </c>
      <c r="D88" s="3" t="n">
        <v>0</v>
      </c>
      <c r="E88" s="3" t="n">
        <v>13</v>
      </c>
      <c r="F88" s="3" t="n">
        <v>137</v>
      </c>
      <c r="G88" s="3" t="n">
        <v>150</v>
      </c>
    </row>
    <row r="89">
      <c r="A89" s="3" t="inlineStr">
        <is>
          <t>Maniema</t>
        </is>
      </c>
      <c r="B89" s="3" t="n">
        <v>0</v>
      </c>
      <c r="C89" s="3" t="n">
        <v>0</v>
      </c>
      <c r="D89" s="3" t="n">
        <v>0</v>
      </c>
      <c r="E89" s="3" t="n">
        <v>52</v>
      </c>
      <c r="F89" s="3" t="n">
        <v>78</v>
      </c>
      <c r="G89" s="3" t="n">
        <v>130</v>
      </c>
    </row>
    <row r="90">
      <c r="A90" s="3" t="inlineStr">
        <is>
          <t>Kwango</t>
        </is>
      </c>
      <c r="B90" s="3" t="n">
        <v>4</v>
      </c>
      <c r="C90" s="3" t="n">
        <v>11</v>
      </c>
      <c r="D90" s="3" t="n">
        <v>2</v>
      </c>
      <c r="E90" s="3" t="n">
        <v>12</v>
      </c>
      <c r="F90" s="3" t="n">
        <v>7</v>
      </c>
      <c r="G90" s="3" t="n">
        <v>36</v>
      </c>
    </row>
    <row r="91">
      <c r="A91" s="3" t="inlineStr">
        <is>
          <t>Tshuapa</t>
        </is>
      </c>
      <c r="B91" s="3" t="n">
        <v>0</v>
      </c>
      <c r="C91" s="3" t="n">
        <v>0</v>
      </c>
      <c r="D91" s="3" t="n">
        <v>0</v>
      </c>
      <c r="E91" s="3" t="n">
        <v>0</v>
      </c>
      <c r="F91" s="3" t="n">
        <v>5</v>
      </c>
      <c r="G91" s="3" t="n">
        <v>5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5" customWidth="1" min="3" max="3"/>
    <col width="12" customWidth="1" min="4" max="4"/>
  </cols>
  <sheetData>
    <row r="1">
      <c r="A1" s="12" t="inlineStr">
        <is>
          <t>ANALYSE: Nombre de préservatifs masculins distribués</t>
        </is>
      </c>
    </row>
    <row r="3">
      <c r="A3" s="13" t="inlineStr">
        <is>
          <t>TOTAL</t>
        </is>
      </c>
      <c r="B3" s="14" t="n">
        <v>156245289</v>
      </c>
    </row>
    <row r="5">
      <c r="A5" s="15" t="inlineStr">
        <is>
          <t>Analyse par Année</t>
        </is>
      </c>
    </row>
    <row r="6">
      <c r="A6" s="11" t="inlineStr">
        <is>
          <t>Année</t>
        </is>
      </c>
      <c r="B6" s="11" t="inlineStr">
        <is>
          <t>Valeur</t>
        </is>
      </c>
      <c r="C6" s="11" t="inlineStr">
        <is>
          <t>Croissance (%)</t>
        </is>
      </c>
    </row>
    <row r="7">
      <c r="A7" s="3" t="n">
        <v>2020</v>
      </c>
      <c r="B7" s="3" t="n">
        <v>94142741</v>
      </c>
      <c r="C7" s="3" t="n">
        <v>0</v>
      </c>
    </row>
    <row r="8">
      <c r="A8" s="3" t="n">
        <v>2021</v>
      </c>
      <c r="B8" s="3" t="n">
        <v>22166495</v>
      </c>
      <c r="C8" s="3" t="n">
        <v>-76.45</v>
      </c>
    </row>
    <row r="9">
      <c r="A9" s="3" t="n">
        <v>2022</v>
      </c>
      <c r="B9" s="3" t="n">
        <v>16890585</v>
      </c>
      <c r="C9" s="3" t="n">
        <v>-23.8</v>
      </c>
    </row>
    <row r="10">
      <c r="A10" s="3" t="n">
        <v>2023</v>
      </c>
      <c r="B10" s="3" t="n">
        <v>9317109</v>
      </c>
      <c r="C10" s="3" t="n">
        <v>-44.84</v>
      </c>
    </row>
    <row r="11">
      <c r="A11" s="3" t="n">
        <v>2024</v>
      </c>
      <c r="B11" s="3" t="n">
        <v>13728359</v>
      </c>
      <c r="C11" s="3" t="n">
        <v>47.35</v>
      </c>
    </row>
    <row r="14">
      <c r="A14" s="15" t="inlineStr">
        <is>
          <t>Analyse par Province</t>
        </is>
      </c>
    </row>
    <row r="15">
      <c r="A15" s="11" t="inlineStr">
        <is>
          <t>Rang</t>
        </is>
      </c>
      <c r="B15" s="11" t="inlineStr">
        <is>
          <t>Province</t>
        </is>
      </c>
      <c r="C15" s="11" t="inlineStr">
        <is>
          <t>Valeur</t>
        </is>
      </c>
      <c r="D15" s="11" t="inlineStr">
        <is>
          <t>% du Total</t>
        </is>
      </c>
    </row>
    <row r="16">
      <c r="A16" s="3" t="n">
        <v>1</v>
      </c>
      <c r="B16" s="3" t="inlineStr">
        <is>
          <t>Nord-Kivu</t>
        </is>
      </c>
      <c r="C16" s="3" t="n">
        <v>70891144</v>
      </c>
      <c r="D16" s="3" t="n">
        <v>45.37</v>
      </c>
    </row>
    <row r="17">
      <c r="A17" s="3" t="n">
        <v>2</v>
      </c>
      <c r="B17" s="3" t="inlineStr">
        <is>
          <t>Haut-Katanga</t>
        </is>
      </c>
      <c r="C17" s="3" t="n">
        <v>34796108</v>
      </c>
      <c r="D17" s="3" t="n">
        <v>22.27</v>
      </c>
    </row>
    <row r="18">
      <c r="A18" s="3" t="n">
        <v>3</v>
      </c>
      <c r="B18" s="3" t="inlineStr">
        <is>
          <t>Sud Kivu</t>
        </is>
      </c>
      <c r="C18" s="3" t="n">
        <v>6600679</v>
      </c>
      <c r="D18" s="3" t="n">
        <v>4.22</v>
      </c>
    </row>
    <row r="19">
      <c r="A19" s="3" t="n">
        <v>4</v>
      </c>
      <c r="B19" s="3" t="inlineStr">
        <is>
          <t>Lualaba</t>
        </is>
      </c>
      <c r="C19" s="3" t="n">
        <v>5725692</v>
      </c>
      <c r="D19" s="3" t="n">
        <v>3.66</v>
      </c>
    </row>
    <row r="20">
      <c r="A20" s="3" t="n">
        <v>5</v>
      </c>
      <c r="B20" s="3" t="inlineStr">
        <is>
          <t>Kinshasa</t>
        </is>
      </c>
      <c r="C20" s="3" t="n">
        <v>4892325</v>
      </c>
      <c r="D20" s="3" t="n">
        <v>3.13</v>
      </c>
    </row>
    <row r="21">
      <c r="A21" s="3" t="n">
        <v>6</v>
      </c>
      <c r="B21" s="3" t="inlineStr">
        <is>
          <t>Kongo-Central</t>
        </is>
      </c>
      <c r="C21" s="3" t="n">
        <v>4017664</v>
      </c>
      <c r="D21" s="3" t="n">
        <v>2.57</v>
      </c>
    </row>
    <row r="22">
      <c r="A22" s="3" t="n">
        <v>7</v>
      </c>
      <c r="B22" s="3" t="inlineStr">
        <is>
          <t>Tanganyika</t>
        </is>
      </c>
      <c r="C22" s="3" t="n">
        <v>3858902</v>
      </c>
      <c r="D22" s="3" t="n">
        <v>2.47</v>
      </c>
    </row>
    <row r="23">
      <c r="A23" s="3" t="n">
        <v>8</v>
      </c>
      <c r="B23" s="3" t="inlineStr">
        <is>
          <t>Lomami</t>
        </is>
      </c>
      <c r="C23" s="3" t="n">
        <v>3573813</v>
      </c>
      <c r="D23" s="3" t="n">
        <v>2.29</v>
      </c>
    </row>
    <row r="24">
      <c r="A24" s="3" t="n">
        <v>9</v>
      </c>
      <c r="B24" s="3" t="inlineStr">
        <is>
          <t>Kasaï-Oriental</t>
        </is>
      </c>
      <c r="C24" s="3" t="n">
        <v>3440042</v>
      </c>
      <c r="D24" s="3" t="n">
        <v>2.2</v>
      </c>
    </row>
    <row r="25">
      <c r="A25" s="3" t="n">
        <v>10</v>
      </c>
      <c r="B25" s="3" t="inlineStr">
        <is>
          <t>Ituri</t>
        </is>
      </c>
      <c r="C25" s="3" t="n">
        <v>3163399</v>
      </c>
      <c r="D25" s="3" t="n">
        <v>2.02</v>
      </c>
    </row>
    <row r="26">
      <c r="A26" s="3" t="n">
        <v>11</v>
      </c>
      <c r="B26" s="3" t="inlineStr">
        <is>
          <t>Kwilu</t>
        </is>
      </c>
      <c r="C26" s="3" t="n">
        <v>2788358</v>
      </c>
      <c r="D26" s="3" t="n">
        <v>1.78</v>
      </c>
    </row>
    <row r="27">
      <c r="A27" s="3" t="n">
        <v>12</v>
      </c>
      <c r="B27" s="3" t="inlineStr">
        <is>
          <t>Kasaï-Central</t>
        </is>
      </c>
      <c r="C27" s="3" t="n">
        <v>2123916</v>
      </c>
      <c r="D27" s="3" t="n">
        <v>1.36</v>
      </c>
    </row>
    <row r="28">
      <c r="A28" s="3" t="n">
        <v>13</v>
      </c>
      <c r="B28" s="3" t="inlineStr">
        <is>
          <t>Haut-Uele</t>
        </is>
      </c>
      <c r="C28" s="3" t="n">
        <v>1897056</v>
      </c>
      <c r="D28" s="3" t="n">
        <v>1.21</v>
      </c>
    </row>
    <row r="29">
      <c r="A29" s="3" t="n">
        <v>14</v>
      </c>
      <c r="B29" s="3" t="inlineStr">
        <is>
          <t>Haut-Lomami</t>
        </is>
      </c>
      <c r="C29" s="3" t="n">
        <v>1550249</v>
      </c>
      <c r="D29" s="3" t="n">
        <v>0.99</v>
      </c>
    </row>
    <row r="30">
      <c r="A30" s="3" t="n">
        <v>15</v>
      </c>
      <c r="B30" s="3" t="inlineStr">
        <is>
          <t>Bas-Uele</t>
        </is>
      </c>
      <c r="C30" s="3" t="n">
        <v>1371748</v>
      </c>
      <c r="D30" s="3" t="n">
        <v>0.88</v>
      </c>
    </row>
    <row r="31">
      <c r="A31" s="3" t="n">
        <v>16</v>
      </c>
      <c r="B31" s="3" t="inlineStr">
        <is>
          <t>Maniema</t>
        </is>
      </c>
      <c r="C31" s="3" t="n">
        <v>1231500</v>
      </c>
      <c r="D31" s="3" t="n">
        <v>0.79</v>
      </c>
    </row>
    <row r="32">
      <c r="A32" s="3" t="n">
        <v>17</v>
      </c>
      <c r="B32" s="3" t="inlineStr">
        <is>
          <t>Nord-Ubangi</t>
        </is>
      </c>
      <c r="C32" s="3" t="n">
        <v>781918</v>
      </c>
      <c r="D32" s="3" t="n">
        <v>0.5</v>
      </c>
    </row>
    <row r="33">
      <c r="A33" s="3" t="n">
        <v>18</v>
      </c>
      <c r="B33" s="3" t="inlineStr">
        <is>
          <t>Kasaï</t>
        </is>
      </c>
      <c r="C33" s="3" t="n">
        <v>660582</v>
      </c>
      <c r="D33" s="3" t="n">
        <v>0.42</v>
      </c>
    </row>
    <row r="34">
      <c r="A34" s="3" t="n">
        <v>19</v>
      </c>
      <c r="B34" s="3" t="inlineStr">
        <is>
          <t>Kwango</t>
        </is>
      </c>
      <c r="C34" s="3" t="n">
        <v>593025</v>
      </c>
      <c r="D34" s="3" t="n">
        <v>0.38</v>
      </c>
    </row>
    <row r="35">
      <c r="A35" s="3" t="n">
        <v>20</v>
      </c>
      <c r="B35" s="3" t="inlineStr">
        <is>
          <t>Équateur</t>
        </is>
      </c>
      <c r="C35" s="3" t="n">
        <v>556249</v>
      </c>
      <c r="D35" s="3" t="n">
        <v>0.36</v>
      </c>
    </row>
    <row r="36">
      <c r="A36" s="3" t="n">
        <v>21</v>
      </c>
      <c r="B36" s="3" t="inlineStr">
        <is>
          <t>Sankuru</t>
        </is>
      </c>
      <c r="C36" s="3" t="n">
        <v>483634</v>
      </c>
      <c r="D36" s="3" t="n">
        <v>0.31</v>
      </c>
    </row>
    <row r="37">
      <c r="A37" s="3" t="n">
        <v>22</v>
      </c>
      <c r="B37" s="3" t="inlineStr">
        <is>
          <t>Mai-Ndombe</t>
        </is>
      </c>
      <c r="C37" s="3" t="n">
        <v>380247</v>
      </c>
      <c r="D37" s="3" t="n">
        <v>0.24</v>
      </c>
    </row>
    <row r="38">
      <c r="A38" s="3" t="n">
        <v>23</v>
      </c>
      <c r="B38" s="3" t="inlineStr">
        <is>
          <t>Mongala</t>
        </is>
      </c>
      <c r="C38" s="3" t="n">
        <v>345762</v>
      </c>
      <c r="D38" s="3" t="n">
        <v>0.22</v>
      </c>
    </row>
    <row r="39">
      <c r="A39" s="3" t="n">
        <v>24</v>
      </c>
      <c r="B39" s="3" t="inlineStr">
        <is>
          <t>Tshopo</t>
        </is>
      </c>
      <c r="C39" s="3" t="n">
        <v>234524</v>
      </c>
      <c r="D39" s="3" t="n">
        <v>0.15</v>
      </c>
    </row>
    <row r="40">
      <c r="A40" s="3" t="n">
        <v>25</v>
      </c>
      <c r="B40" s="3" t="inlineStr">
        <is>
          <t>Tshuapa</t>
        </is>
      </c>
      <c r="C40" s="3" t="n">
        <v>159996</v>
      </c>
      <c r="D40" s="3" t="n">
        <v>0.1</v>
      </c>
    </row>
    <row r="41">
      <c r="A41" s="3" t="n">
        <v>26</v>
      </c>
      <c r="B41" s="3" t="inlineStr">
        <is>
          <t>Sud-Ubangi</t>
        </is>
      </c>
      <c r="C41" s="3" t="n">
        <v>126757</v>
      </c>
      <c r="D41" s="3" t="n">
        <v>0.08</v>
      </c>
    </row>
    <row r="44">
      <c r="A44" s="15" t="inlineStr">
        <is>
          <t>Analyse par Trimestre</t>
        </is>
      </c>
    </row>
    <row r="45">
      <c r="A45" s="11" t="inlineStr">
        <is>
          <t>Trimestre</t>
        </is>
      </c>
      <c r="B45" s="11" t="inlineStr">
        <is>
          <t>Valeur</t>
        </is>
      </c>
      <c r="C45" s="11" t="inlineStr">
        <is>
          <t>% du Total</t>
        </is>
      </c>
    </row>
    <row r="46">
      <c r="A46" s="3" t="inlineStr">
        <is>
          <t>T1</t>
        </is>
      </c>
      <c r="B46" s="3" t="n">
        <v>80239584</v>
      </c>
      <c r="C46" s="3" t="n">
        <v>51.35</v>
      </c>
    </row>
    <row r="47">
      <c r="A47" s="3" t="inlineStr">
        <is>
          <t>T2</t>
        </is>
      </c>
      <c r="B47" s="3" t="n">
        <v>21080247</v>
      </c>
      <c r="C47" s="3" t="n">
        <v>13.49</v>
      </c>
    </row>
    <row r="48">
      <c r="A48" s="3" t="inlineStr">
        <is>
          <t>T3</t>
        </is>
      </c>
      <c r="B48" s="3" t="n">
        <v>19410202</v>
      </c>
      <c r="C48" s="3" t="n">
        <v>12.42</v>
      </c>
    </row>
    <row r="49">
      <c r="A49" s="3" t="inlineStr">
        <is>
          <t>T4</t>
        </is>
      </c>
      <c r="B49" s="3" t="n">
        <v>35515256</v>
      </c>
      <c r="C49" s="3" t="n">
        <v>22.73</v>
      </c>
    </row>
    <row r="52">
      <c r="A52" s="15" t="inlineStr">
        <is>
          <t>Analyse par Sexe</t>
        </is>
      </c>
    </row>
    <row r="53">
      <c r="A53" s="11" t="inlineStr">
        <is>
          <t>Sexe</t>
        </is>
      </c>
      <c r="B53" s="11" t="inlineStr">
        <is>
          <t>Valeur</t>
        </is>
      </c>
      <c r="C53" s="11" t="inlineStr">
        <is>
          <t>% du Total</t>
        </is>
      </c>
    </row>
    <row r="54">
      <c r="A54" s="3" t="inlineStr">
        <is>
          <t>Féminin</t>
        </is>
      </c>
      <c r="B54" s="3" t="n">
        <v>25276086</v>
      </c>
      <c r="C54" s="3" t="n">
        <v>16.18</v>
      </c>
    </row>
    <row r="55">
      <c r="A55" s="3" t="inlineStr">
        <is>
          <t>Masculin</t>
        </is>
      </c>
      <c r="B55" s="3" t="n">
        <v>130969203</v>
      </c>
      <c r="C55" s="3" t="n">
        <v>83.81999999999999</v>
      </c>
    </row>
    <row r="58">
      <c r="A58" s="15" t="inlineStr">
        <is>
          <t>Analyse par Tranche d'Âge</t>
        </is>
      </c>
    </row>
    <row r="59">
      <c r="A59" s="11" t="inlineStr">
        <is>
          <t>Tranche d'Âge</t>
        </is>
      </c>
      <c r="B59" s="11" t="inlineStr">
        <is>
          <t>Valeur</t>
        </is>
      </c>
      <c r="C59" s="11" t="inlineStr">
        <is>
          <t>% du Total</t>
        </is>
      </c>
    </row>
    <row r="60">
      <c r="A60" s="3" t="inlineStr">
        <is>
          <t>10 à 14 ans</t>
        </is>
      </c>
      <c r="B60" s="3" t="n">
        <v>51817</v>
      </c>
      <c r="C60" s="3" t="n">
        <v>0.03</v>
      </c>
    </row>
    <row r="61">
      <c r="A61" s="3" t="inlineStr">
        <is>
          <t>15 à 19 ans</t>
        </is>
      </c>
      <c r="B61" s="3" t="n">
        <v>2424420</v>
      </c>
      <c r="C61" s="3" t="n">
        <v>1.55</v>
      </c>
    </row>
    <row r="62">
      <c r="A62" s="3" t="inlineStr">
        <is>
          <t>20 à 24 ans</t>
        </is>
      </c>
      <c r="B62" s="3" t="n">
        <v>17881157</v>
      </c>
      <c r="C62" s="3" t="n">
        <v>11.44</v>
      </c>
    </row>
    <row r="63">
      <c r="A63" s="3" t="inlineStr">
        <is>
          <t>25 à 49 ans</t>
        </is>
      </c>
      <c r="B63" s="3" t="n">
        <v>66217717</v>
      </c>
      <c r="C63" s="3" t="n">
        <v>42.38</v>
      </c>
    </row>
    <row r="64">
      <c r="A64" s="3" t="inlineStr">
        <is>
          <t>&lt; 10 ans</t>
        </is>
      </c>
      <c r="B64" s="3" t="n">
        <v>517</v>
      </c>
      <c r="C64" s="3" t="n">
        <v>0</v>
      </c>
    </row>
    <row r="65">
      <c r="A65" s="3" t="inlineStr">
        <is>
          <t>&lt; 15 ans</t>
        </is>
      </c>
      <c r="B65" s="3" t="n">
        <v>323826</v>
      </c>
      <c r="C65" s="3" t="n">
        <v>0.21</v>
      </c>
    </row>
    <row r="66">
      <c r="A66" s="3" t="inlineStr">
        <is>
          <t>&gt;= 15 ans</t>
        </is>
      </c>
      <c r="B66" s="3" t="n">
        <v>66417390</v>
      </c>
      <c r="C66" s="3" t="n">
        <v>42.51</v>
      </c>
    </row>
    <row r="67">
      <c r="A67" s="3" t="inlineStr">
        <is>
          <t>&gt;= 50 ans</t>
        </is>
      </c>
      <c r="B67" s="3" t="n">
        <v>2928445</v>
      </c>
      <c r="C67" s="3" t="n">
        <v>1.87</v>
      </c>
    </row>
    <row r="70">
      <c r="A70" s="15" t="inlineStr">
        <is>
          <t>Tableau Croisé: Province × Année</t>
        </is>
      </c>
    </row>
    <row r="71">
      <c r="A71" s="11" t="inlineStr">
        <is>
          <t>provinces</t>
        </is>
      </c>
      <c r="B71" s="11" t="inlineStr">
        <is>
          <t>2020</t>
        </is>
      </c>
      <c r="C71" s="11" t="inlineStr">
        <is>
          <t>2021</t>
        </is>
      </c>
      <c r="D71" s="11" t="inlineStr">
        <is>
          <t>2022</t>
        </is>
      </c>
      <c r="E71" s="11" t="inlineStr">
        <is>
          <t>2023</t>
        </is>
      </c>
      <c r="F71" s="11" t="inlineStr">
        <is>
          <t>2024</t>
        </is>
      </c>
      <c r="G71" s="11" t="inlineStr">
        <is>
          <t>TOTAL</t>
        </is>
      </c>
    </row>
    <row r="72">
      <c r="A72" s="3" t="inlineStr">
        <is>
          <t>Nord-Kivu</t>
        </is>
      </c>
      <c r="B72" s="3" t="n">
        <v>61782746</v>
      </c>
      <c r="C72" s="3" t="n">
        <v>5555112</v>
      </c>
      <c r="D72" s="3" t="n">
        <v>2141852</v>
      </c>
      <c r="E72" s="3" t="n">
        <v>984146</v>
      </c>
      <c r="F72" s="3" t="n">
        <v>427288</v>
      </c>
      <c r="G72" s="3" t="n">
        <v>70891144</v>
      </c>
    </row>
    <row r="73">
      <c r="A73" s="3" t="inlineStr">
        <is>
          <t>Haut-Katanga</t>
        </is>
      </c>
      <c r="B73" s="3" t="n">
        <v>20677451</v>
      </c>
      <c r="C73" s="3" t="n">
        <v>5758517</v>
      </c>
      <c r="D73" s="3" t="n">
        <v>4416874</v>
      </c>
      <c r="E73" s="3" t="n">
        <v>1311002</v>
      </c>
      <c r="F73" s="3" t="n">
        <v>2632264</v>
      </c>
      <c r="G73" s="3" t="n">
        <v>34796108</v>
      </c>
    </row>
    <row r="74">
      <c r="A74" s="3" t="inlineStr">
        <is>
          <t>Sud Kivu</t>
        </is>
      </c>
      <c r="B74" s="3" t="n">
        <v>1684223</v>
      </c>
      <c r="C74" s="3" t="n">
        <v>1106543</v>
      </c>
      <c r="D74" s="3" t="n">
        <v>924884</v>
      </c>
      <c r="E74" s="3" t="n">
        <v>1024953</v>
      </c>
      <c r="F74" s="3" t="n">
        <v>1860076</v>
      </c>
      <c r="G74" s="3" t="n">
        <v>6600679</v>
      </c>
    </row>
    <row r="75">
      <c r="A75" s="3" t="inlineStr">
        <is>
          <t>Lualaba</t>
        </is>
      </c>
      <c r="B75" s="3" t="n">
        <v>403367</v>
      </c>
      <c r="C75" s="3" t="n">
        <v>894384</v>
      </c>
      <c r="D75" s="3" t="n">
        <v>3465472</v>
      </c>
      <c r="E75" s="3" t="n">
        <v>474616</v>
      </c>
      <c r="F75" s="3" t="n">
        <v>487853</v>
      </c>
      <c r="G75" s="3" t="n">
        <v>5725692</v>
      </c>
    </row>
    <row r="76">
      <c r="A76" s="3" t="inlineStr">
        <is>
          <t>Kinshasa</t>
        </is>
      </c>
      <c r="B76" s="3" t="n">
        <v>1355002</v>
      </c>
      <c r="C76" s="3" t="n">
        <v>1137876</v>
      </c>
      <c r="D76" s="3" t="n">
        <v>1068359</v>
      </c>
      <c r="E76" s="3" t="n">
        <v>1331088</v>
      </c>
      <c r="F76" s="3" t="n">
        <v>0</v>
      </c>
      <c r="G76" s="3" t="n">
        <v>4892325</v>
      </c>
    </row>
    <row r="77">
      <c r="A77" s="3" t="inlineStr">
        <is>
          <t>Kongo-Central</t>
        </is>
      </c>
      <c r="B77" s="3" t="n">
        <v>1346182</v>
      </c>
      <c r="C77" s="3" t="n">
        <v>931949</v>
      </c>
      <c r="D77" s="3" t="n">
        <v>399085</v>
      </c>
      <c r="E77" s="3" t="n">
        <v>463922</v>
      </c>
      <c r="F77" s="3" t="n">
        <v>876526</v>
      </c>
      <c r="G77" s="3" t="n">
        <v>4017664</v>
      </c>
    </row>
    <row r="78">
      <c r="A78" s="3" t="inlineStr">
        <is>
          <t>Tanganyika</t>
        </is>
      </c>
      <c r="B78" s="3" t="n">
        <v>1511099</v>
      </c>
      <c r="C78" s="3" t="n">
        <v>1078860</v>
      </c>
      <c r="D78" s="3" t="n">
        <v>1055842</v>
      </c>
      <c r="E78" s="3" t="n">
        <v>98792</v>
      </c>
      <c r="F78" s="3" t="n">
        <v>114309</v>
      </c>
      <c r="G78" s="3" t="n">
        <v>3858902</v>
      </c>
    </row>
    <row r="79">
      <c r="A79" s="3" t="inlineStr">
        <is>
          <t>Lomami</t>
        </is>
      </c>
      <c r="B79" s="3" t="n">
        <v>460305</v>
      </c>
      <c r="C79" s="3" t="n">
        <v>929115</v>
      </c>
      <c r="D79" s="3" t="n">
        <v>112916</v>
      </c>
      <c r="E79" s="3" t="n">
        <v>406677</v>
      </c>
      <c r="F79" s="3" t="n">
        <v>1664800</v>
      </c>
      <c r="G79" s="3" t="n">
        <v>3573813</v>
      </c>
    </row>
    <row r="80">
      <c r="A80" s="3" t="inlineStr">
        <is>
          <t>Kasaï-Oriental</t>
        </is>
      </c>
      <c r="B80" s="3" t="n">
        <v>473897</v>
      </c>
      <c r="C80" s="3" t="n">
        <v>549266</v>
      </c>
      <c r="D80" s="3" t="n">
        <v>430924</v>
      </c>
      <c r="E80" s="3" t="n">
        <v>1025633</v>
      </c>
      <c r="F80" s="3" t="n">
        <v>960322</v>
      </c>
      <c r="G80" s="3" t="n">
        <v>3440042</v>
      </c>
    </row>
    <row r="81">
      <c r="A81" s="3" t="inlineStr">
        <is>
          <t>Ituri</t>
        </is>
      </c>
      <c r="B81" s="3" t="n">
        <v>814255</v>
      </c>
      <c r="C81" s="3" t="n">
        <v>778521</v>
      </c>
      <c r="D81" s="3" t="n">
        <v>953771</v>
      </c>
      <c r="E81" s="3" t="n">
        <v>255632</v>
      </c>
      <c r="F81" s="3" t="n">
        <v>361220</v>
      </c>
      <c r="G81" s="3" t="n">
        <v>3163399</v>
      </c>
    </row>
    <row r="82">
      <c r="A82" s="3" t="inlineStr">
        <is>
          <t>Kwilu</t>
        </is>
      </c>
      <c r="B82" s="3" t="n">
        <v>110425</v>
      </c>
      <c r="C82" s="3" t="n">
        <v>86528</v>
      </c>
      <c r="D82" s="3" t="n">
        <v>105366</v>
      </c>
      <c r="E82" s="3" t="n">
        <v>43240</v>
      </c>
      <c r="F82" s="3" t="n">
        <v>2442799</v>
      </c>
      <c r="G82" s="3" t="n">
        <v>2788358</v>
      </c>
    </row>
    <row r="83">
      <c r="A83" s="3" t="inlineStr">
        <is>
          <t>Kasaï-Central</t>
        </is>
      </c>
      <c r="B83" s="3" t="n">
        <v>0</v>
      </c>
      <c r="C83" s="3" t="n">
        <v>874119</v>
      </c>
      <c r="D83" s="3" t="n">
        <v>0</v>
      </c>
      <c r="E83" s="3" t="n">
        <v>618118</v>
      </c>
      <c r="F83" s="3" t="n">
        <v>631679</v>
      </c>
      <c r="G83" s="3" t="n">
        <v>2123916</v>
      </c>
    </row>
    <row r="84">
      <c r="A84" s="3" t="inlineStr">
        <is>
          <t>Haut-Uele</t>
        </is>
      </c>
      <c r="B84" s="3" t="n">
        <v>682295</v>
      </c>
      <c r="C84" s="3" t="n">
        <v>471355</v>
      </c>
      <c r="D84" s="3" t="n">
        <v>524435</v>
      </c>
      <c r="E84" s="3" t="n">
        <v>155217</v>
      </c>
      <c r="F84" s="3" t="n">
        <v>63754</v>
      </c>
      <c r="G84" s="3" t="n">
        <v>1897056</v>
      </c>
    </row>
    <row r="85">
      <c r="A85" s="3" t="inlineStr">
        <is>
          <t>Haut-Lomami</t>
        </is>
      </c>
      <c r="B85" s="3" t="n">
        <v>216551</v>
      </c>
      <c r="C85" s="3" t="n">
        <v>565290</v>
      </c>
      <c r="D85" s="3" t="n">
        <v>481997</v>
      </c>
      <c r="E85" s="3" t="n">
        <v>126954</v>
      </c>
      <c r="F85" s="3" t="n">
        <v>159457</v>
      </c>
      <c r="G85" s="3" t="n">
        <v>1550249</v>
      </c>
    </row>
    <row r="86">
      <c r="A86" s="3" t="inlineStr">
        <is>
          <t>Bas-Uele</t>
        </is>
      </c>
      <c r="B86" s="3" t="n">
        <v>754008</v>
      </c>
      <c r="C86" s="3" t="n">
        <v>354008</v>
      </c>
      <c r="D86" s="3" t="n">
        <v>164830</v>
      </c>
      <c r="E86" s="3" t="n">
        <v>61138</v>
      </c>
      <c r="F86" s="3" t="n">
        <v>37764</v>
      </c>
      <c r="G86" s="3" t="n">
        <v>1371748</v>
      </c>
    </row>
    <row r="87">
      <c r="A87" s="3" t="inlineStr">
        <is>
          <t>Maniema</t>
        </is>
      </c>
      <c r="B87" s="3" t="n">
        <v>586233</v>
      </c>
      <c r="C87" s="3" t="n">
        <v>210385</v>
      </c>
      <c r="D87" s="3" t="n">
        <v>202230</v>
      </c>
      <c r="E87" s="3" t="n">
        <v>37890</v>
      </c>
      <c r="F87" s="3" t="n">
        <v>194762</v>
      </c>
      <c r="G87" s="3" t="n">
        <v>1231500</v>
      </c>
    </row>
    <row r="88">
      <c r="A88" s="3" t="inlineStr">
        <is>
          <t>Nord-Ubangi</t>
        </is>
      </c>
      <c r="B88" s="3" t="n">
        <v>231363</v>
      </c>
      <c r="C88" s="3" t="n">
        <v>217193</v>
      </c>
      <c r="D88" s="3" t="n">
        <v>190898</v>
      </c>
      <c r="E88" s="3" t="n">
        <v>107184</v>
      </c>
      <c r="F88" s="3" t="n">
        <v>35280</v>
      </c>
      <c r="G88" s="3" t="n">
        <v>781918</v>
      </c>
    </row>
    <row r="89">
      <c r="A89" s="3" t="inlineStr">
        <is>
          <t>Kasaï</t>
        </is>
      </c>
      <c r="B89" s="3" t="n">
        <v>0</v>
      </c>
      <c r="C89" s="3" t="n">
        <v>112613</v>
      </c>
      <c r="D89" s="3" t="n">
        <v>20411</v>
      </c>
      <c r="E89" s="3" t="n">
        <v>162603</v>
      </c>
      <c r="F89" s="3" t="n">
        <v>364955</v>
      </c>
      <c r="G89" s="3" t="n">
        <v>660582</v>
      </c>
    </row>
    <row r="90">
      <c r="A90" s="3" t="inlineStr">
        <is>
          <t>Kwango</t>
        </is>
      </c>
      <c r="B90" s="3" t="n">
        <v>315973</v>
      </c>
      <c r="C90" s="3" t="n">
        <v>113499</v>
      </c>
      <c r="D90" s="3" t="n">
        <v>32552</v>
      </c>
      <c r="E90" s="3" t="n">
        <v>87525</v>
      </c>
      <c r="F90" s="3" t="n">
        <v>43476</v>
      </c>
      <c r="G90" s="3" t="n">
        <v>593025</v>
      </c>
    </row>
    <row r="91">
      <c r="A91" s="3" t="inlineStr">
        <is>
          <t>Équateur</t>
        </is>
      </c>
      <c r="B91" s="3" t="n">
        <v>141415</v>
      </c>
      <c r="C91" s="3" t="n">
        <v>34074</v>
      </c>
      <c r="D91" s="3" t="n">
        <v>10777</v>
      </c>
      <c r="E91" s="3" t="n">
        <v>191436</v>
      </c>
      <c r="F91" s="3" t="n">
        <v>178547</v>
      </c>
      <c r="G91" s="3" t="n">
        <v>556249</v>
      </c>
    </row>
    <row r="92">
      <c r="A92" s="3" t="inlineStr">
        <is>
          <t>Sankuru</t>
        </is>
      </c>
      <c r="B92" s="3" t="n">
        <v>135815</v>
      </c>
      <c r="C92" s="3" t="n">
        <v>165807</v>
      </c>
      <c r="D92" s="3" t="n">
        <v>79274</v>
      </c>
      <c r="E92" s="3" t="n">
        <v>50186</v>
      </c>
      <c r="F92" s="3" t="n">
        <v>52552</v>
      </c>
      <c r="G92" s="3" t="n">
        <v>483634</v>
      </c>
    </row>
    <row r="93">
      <c r="A93" s="3" t="inlineStr">
        <is>
          <t>Mai-Ndombe</t>
        </is>
      </c>
      <c r="B93" s="3" t="n">
        <v>181014</v>
      </c>
      <c r="C93" s="3" t="n">
        <v>137348</v>
      </c>
      <c r="D93" s="3" t="n">
        <v>33209</v>
      </c>
      <c r="E93" s="3" t="n">
        <v>8861</v>
      </c>
      <c r="F93" s="3" t="n">
        <v>19815</v>
      </c>
      <c r="G93" s="3" t="n">
        <v>380247</v>
      </c>
    </row>
    <row r="94">
      <c r="A94" s="3" t="inlineStr">
        <is>
          <t>Mongala</t>
        </is>
      </c>
      <c r="B94" s="3" t="n">
        <v>97755</v>
      </c>
      <c r="C94" s="3" t="n">
        <v>52970</v>
      </c>
      <c r="D94" s="3" t="n">
        <v>45789</v>
      </c>
      <c r="E94" s="3" t="n">
        <v>140649</v>
      </c>
      <c r="F94" s="3" t="n">
        <v>8599</v>
      </c>
      <c r="G94" s="3" t="n">
        <v>345762</v>
      </c>
    </row>
    <row r="95">
      <c r="A95" s="3" t="inlineStr">
        <is>
          <t>Tshopo</t>
        </is>
      </c>
      <c r="B95" s="3" t="n">
        <v>44707</v>
      </c>
      <c r="C95" s="3" t="n">
        <v>6130</v>
      </c>
      <c r="D95" s="3" t="n">
        <v>0</v>
      </c>
      <c r="E95" s="3" t="n">
        <v>136259</v>
      </c>
      <c r="F95" s="3" t="n">
        <v>47428</v>
      </c>
      <c r="G95" s="3" t="n">
        <v>234524</v>
      </c>
    </row>
    <row r="96">
      <c r="A96" s="3" t="inlineStr">
        <is>
          <t>Tshuapa</t>
        </is>
      </c>
      <c r="B96" s="3" t="n">
        <v>36838</v>
      </c>
      <c r="C96" s="3" t="n">
        <v>39410</v>
      </c>
      <c r="D96" s="3" t="n">
        <v>21446</v>
      </c>
      <c r="E96" s="3" t="n">
        <v>0</v>
      </c>
      <c r="F96" s="3" t="n">
        <v>62302</v>
      </c>
      <c r="G96" s="3" t="n">
        <v>159996</v>
      </c>
    </row>
    <row r="97">
      <c r="A97" s="3" t="inlineStr">
        <is>
          <t>Sud-Ubangi</t>
        </is>
      </c>
      <c r="B97" s="3" t="n">
        <v>99822</v>
      </c>
      <c r="C97" s="3" t="n">
        <v>5623</v>
      </c>
      <c r="D97" s="3" t="n">
        <v>7392</v>
      </c>
      <c r="E97" s="3" t="n">
        <v>13388</v>
      </c>
      <c r="F97" s="3" t="n">
        <v>532</v>
      </c>
      <c r="G97" s="3" t="n">
        <v>126757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5" customWidth="1" min="3" max="3"/>
    <col width="12" customWidth="1" min="4" max="4"/>
  </cols>
  <sheetData>
    <row r="1">
      <c r="A1" s="12" t="inlineStr">
        <is>
          <t>ANALYSE: Nombre de préservatifs féminins distribués</t>
        </is>
      </c>
    </row>
    <row r="3">
      <c r="A3" s="13" t="inlineStr">
        <is>
          <t>TOTAL</t>
        </is>
      </c>
      <c r="B3" s="14" t="n">
        <v>5961091</v>
      </c>
    </row>
    <row r="5">
      <c r="A5" s="15" t="inlineStr">
        <is>
          <t>Analyse par Année</t>
        </is>
      </c>
    </row>
    <row r="6">
      <c r="A6" s="11" t="inlineStr">
        <is>
          <t>Année</t>
        </is>
      </c>
      <c r="B6" s="11" t="inlineStr">
        <is>
          <t>Valeur</t>
        </is>
      </c>
      <c r="C6" s="11" t="inlineStr">
        <is>
          <t>Croissance (%)</t>
        </is>
      </c>
    </row>
    <row r="7">
      <c r="A7" s="3" t="n">
        <v>2020</v>
      </c>
      <c r="B7" s="3" t="n">
        <v>2271945</v>
      </c>
      <c r="C7" s="3" t="n">
        <v>0</v>
      </c>
    </row>
    <row r="8">
      <c r="A8" s="3" t="n">
        <v>2021</v>
      </c>
      <c r="B8" s="3" t="n">
        <v>1507024</v>
      </c>
      <c r="C8" s="3" t="n">
        <v>-33.67</v>
      </c>
    </row>
    <row r="9">
      <c r="A9" s="3" t="n">
        <v>2022</v>
      </c>
      <c r="B9" s="3" t="n">
        <v>1252100</v>
      </c>
      <c r="C9" s="3" t="n">
        <v>-16.92</v>
      </c>
    </row>
    <row r="10">
      <c r="A10" s="3" t="n">
        <v>2023</v>
      </c>
      <c r="B10" s="3" t="n">
        <v>472868</v>
      </c>
      <c r="C10" s="3" t="n">
        <v>-62.23</v>
      </c>
    </row>
    <row r="11">
      <c r="A11" s="3" t="n">
        <v>2024</v>
      </c>
      <c r="B11" s="3" t="n">
        <v>457154</v>
      </c>
      <c r="C11" s="3" t="n">
        <v>-3.32</v>
      </c>
    </row>
    <row r="14">
      <c r="A14" s="15" t="inlineStr">
        <is>
          <t>Analyse par Province</t>
        </is>
      </c>
    </row>
    <row r="15">
      <c r="A15" s="11" t="inlineStr">
        <is>
          <t>Rang</t>
        </is>
      </c>
      <c r="B15" s="11" t="inlineStr">
        <is>
          <t>Province</t>
        </is>
      </c>
      <c r="C15" s="11" t="inlineStr">
        <is>
          <t>Valeur</t>
        </is>
      </c>
      <c r="D15" s="11" t="inlineStr">
        <is>
          <t>% du Total</t>
        </is>
      </c>
    </row>
    <row r="16">
      <c r="A16" s="3" t="n">
        <v>1</v>
      </c>
      <c r="B16" s="3" t="inlineStr">
        <is>
          <t>Haut-Katanga</t>
        </is>
      </c>
      <c r="C16" s="3" t="n">
        <v>1232139</v>
      </c>
      <c r="D16" s="3" t="n">
        <v>20.67</v>
      </c>
    </row>
    <row r="17">
      <c r="A17" s="3" t="n">
        <v>2</v>
      </c>
      <c r="B17" s="3" t="inlineStr">
        <is>
          <t>Kasaï-Central</t>
        </is>
      </c>
      <c r="C17" s="3" t="n">
        <v>843036</v>
      </c>
      <c r="D17" s="3" t="n">
        <v>14.14</v>
      </c>
    </row>
    <row r="18">
      <c r="A18" s="3" t="n">
        <v>3</v>
      </c>
      <c r="B18" s="3" t="inlineStr">
        <is>
          <t>Kasaï-Oriental</t>
        </is>
      </c>
      <c r="C18" s="3" t="n">
        <v>650796</v>
      </c>
      <c r="D18" s="3" t="n">
        <v>10.92</v>
      </c>
    </row>
    <row r="19">
      <c r="A19" s="3" t="n">
        <v>4</v>
      </c>
      <c r="B19" s="3" t="inlineStr">
        <is>
          <t>Kinshasa</t>
        </is>
      </c>
      <c r="C19" s="3" t="n">
        <v>572112</v>
      </c>
      <c r="D19" s="3" t="n">
        <v>9.6</v>
      </c>
    </row>
    <row r="20">
      <c r="A20" s="3" t="n">
        <v>5</v>
      </c>
      <c r="B20" s="3" t="inlineStr">
        <is>
          <t>Sud Kivu</t>
        </is>
      </c>
      <c r="C20" s="3" t="n">
        <v>409191</v>
      </c>
      <c r="D20" s="3" t="n">
        <v>6.86</v>
      </c>
    </row>
    <row r="21">
      <c r="A21" s="3" t="n">
        <v>6</v>
      </c>
      <c r="B21" s="3" t="inlineStr">
        <is>
          <t>Bas-Uele</t>
        </is>
      </c>
      <c r="C21" s="3" t="n">
        <v>345819</v>
      </c>
      <c r="D21" s="3" t="n">
        <v>5.8</v>
      </c>
    </row>
    <row r="22">
      <c r="A22" s="3" t="n">
        <v>7</v>
      </c>
      <c r="B22" s="3" t="inlineStr">
        <is>
          <t>Lualaba</t>
        </is>
      </c>
      <c r="C22" s="3" t="n">
        <v>341585</v>
      </c>
      <c r="D22" s="3" t="n">
        <v>5.73</v>
      </c>
    </row>
    <row r="23">
      <c r="A23" s="3" t="n">
        <v>8</v>
      </c>
      <c r="B23" s="3" t="inlineStr">
        <is>
          <t>Lomami</t>
        </is>
      </c>
      <c r="C23" s="3" t="n">
        <v>338367</v>
      </c>
      <c r="D23" s="3" t="n">
        <v>5.68</v>
      </c>
    </row>
    <row r="24">
      <c r="A24" s="3" t="n">
        <v>9</v>
      </c>
      <c r="B24" s="3" t="inlineStr">
        <is>
          <t>Nord-Kivu</t>
        </is>
      </c>
      <c r="C24" s="3" t="n">
        <v>174927</v>
      </c>
      <c r="D24" s="3" t="n">
        <v>2.93</v>
      </c>
    </row>
    <row r="25">
      <c r="A25" s="3" t="n">
        <v>10</v>
      </c>
      <c r="B25" s="3" t="inlineStr">
        <is>
          <t>Haut-Lomami</t>
        </is>
      </c>
      <c r="C25" s="3" t="n">
        <v>165452</v>
      </c>
      <c r="D25" s="3" t="n">
        <v>2.78</v>
      </c>
    </row>
    <row r="26">
      <c r="A26" s="3" t="n">
        <v>11</v>
      </c>
      <c r="B26" s="3" t="inlineStr">
        <is>
          <t>Tanganyika</t>
        </is>
      </c>
      <c r="C26" s="3" t="n">
        <v>146843</v>
      </c>
      <c r="D26" s="3" t="n">
        <v>2.46</v>
      </c>
    </row>
    <row r="27">
      <c r="A27" s="3" t="n">
        <v>12</v>
      </c>
      <c r="B27" s="3" t="inlineStr">
        <is>
          <t>Nord-Ubangi</t>
        </is>
      </c>
      <c r="C27" s="3" t="n">
        <v>121729</v>
      </c>
      <c r="D27" s="3" t="n">
        <v>2.04</v>
      </c>
    </row>
    <row r="28">
      <c r="A28" s="3" t="n">
        <v>13</v>
      </c>
      <c r="B28" s="3" t="inlineStr">
        <is>
          <t>Kasaï</t>
        </is>
      </c>
      <c r="C28" s="3" t="n">
        <v>83663</v>
      </c>
      <c r="D28" s="3" t="n">
        <v>1.4</v>
      </c>
    </row>
    <row r="29">
      <c r="A29" s="3" t="n">
        <v>14</v>
      </c>
      <c r="B29" s="3" t="inlineStr">
        <is>
          <t>Sankuru</t>
        </is>
      </c>
      <c r="C29" s="3" t="n">
        <v>75653</v>
      </c>
      <c r="D29" s="3" t="n">
        <v>1.27</v>
      </c>
    </row>
    <row r="30">
      <c r="A30" s="3" t="n">
        <v>15</v>
      </c>
      <c r="B30" s="3" t="inlineStr">
        <is>
          <t>Tshuapa</t>
        </is>
      </c>
      <c r="C30" s="3" t="n">
        <v>75607</v>
      </c>
      <c r="D30" s="3" t="n">
        <v>1.27</v>
      </c>
    </row>
    <row r="31">
      <c r="A31" s="3" t="n">
        <v>16</v>
      </c>
      <c r="B31" s="3" t="inlineStr">
        <is>
          <t>Mai-Ndombe</t>
        </is>
      </c>
      <c r="C31" s="3" t="n">
        <v>71528</v>
      </c>
      <c r="D31" s="3" t="n">
        <v>1.2</v>
      </c>
    </row>
    <row r="32">
      <c r="A32" s="3" t="n">
        <v>17</v>
      </c>
      <c r="B32" s="3" t="inlineStr">
        <is>
          <t>Ituri</t>
        </is>
      </c>
      <c r="C32" s="3" t="n">
        <v>70644</v>
      </c>
      <c r="D32" s="3" t="n">
        <v>1.19</v>
      </c>
    </row>
    <row r="33">
      <c r="A33" s="3" t="n">
        <v>18</v>
      </c>
      <c r="B33" s="3" t="inlineStr">
        <is>
          <t>Tshopo</t>
        </is>
      </c>
      <c r="C33" s="3" t="n">
        <v>68725</v>
      </c>
      <c r="D33" s="3" t="n">
        <v>1.15</v>
      </c>
    </row>
    <row r="34">
      <c r="A34" s="3" t="n">
        <v>19</v>
      </c>
      <c r="B34" s="3" t="inlineStr">
        <is>
          <t>Maniema</t>
        </is>
      </c>
      <c r="C34" s="3" t="n">
        <v>44462</v>
      </c>
      <c r="D34" s="3" t="n">
        <v>0.75</v>
      </c>
    </row>
    <row r="35">
      <c r="A35" s="3" t="n">
        <v>20</v>
      </c>
      <c r="B35" s="3" t="inlineStr">
        <is>
          <t>Kongo-Central</t>
        </is>
      </c>
      <c r="C35" s="3" t="n">
        <v>41499</v>
      </c>
      <c r="D35" s="3" t="n">
        <v>0.7</v>
      </c>
    </row>
    <row r="36">
      <c r="A36" s="3" t="n">
        <v>21</v>
      </c>
      <c r="B36" s="3" t="inlineStr">
        <is>
          <t>Kwilu</t>
        </is>
      </c>
      <c r="C36" s="3" t="n">
        <v>38820</v>
      </c>
      <c r="D36" s="3" t="n">
        <v>0.65</v>
      </c>
    </row>
    <row r="37">
      <c r="A37" s="3" t="n">
        <v>22</v>
      </c>
      <c r="B37" s="3" t="inlineStr">
        <is>
          <t>Haut-Uele</t>
        </is>
      </c>
      <c r="C37" s="3" t="n">
        <v>17381</v>
      </c>
      <c r="D37" s="3" t="n">
        <v>0.29</v>
      </c>
    </row>
    <row r="38">
      <c r="A38" s="3" t="n">
        <v>23</v>
      </c>
      <c r="B38" s="3" t="inlineStr">
        <is>
          <t>Kwango</t>
        </is>
      </c>
      <c r="C38" s="3" t="n">
        <v>13629</v>
      </c>
      <c r="D38" s="3" t="n">
        <v>0.23</v>
      </c>
    </row>
    <row r="39">
      <c r="A39" s="3" t="n">
        <v>24</v>
      </c>
      <c r="B39" s="3" t="inlineStr">
        <is>
          <t>Mongala</t>
        </is>
      </c>
      <c r="C39" s="3" t="n">
        <v>8493</v>
      </c>
      <c r="D39" s="3" t="n">
        <v>0.14</v>
      </c>
    </row>
    <row r="40">
      <c r="A40" s="3" t="n">
        <v>25</v>
      </c>
      <c r="B40" s="3" t="inlineStr">
        <is>
          <t>Équateur</t>
        </is>
      </c>
      <c r="C40" s="3" t="n">
        <v>8291</v>
      </c>
      <c r="D40" s="3" t="n">
        <v>0.14</v>
      </c>
    </row>
    <row r="41">
      <c r="A41" s="3" t="n">
        <v>26</v>
      </c>
      <c r="B41" s="3" t="inlineStr">
        <is>
          <t>Sud-Ubangi</t>
        </is>
      </c>
      <c r="C41" s="3" t="n">
        <v>700</v>
      </c>
      <c r="D41" s="3" t="n">
        <v>0.01</v>
      </c>
    </row>
    <row r="44">
      <c r="A44" s="15" t="inlineStr">
        <is>
          <t>Analyse par Trimestre</t>
        </is>
      </c>
    </row>
    <row r="45">
      <c r="A45" s="11" t="inlineStr">
        <is>
          <t>Trimestre</t>
        </is>
      </c>
      <c r="B45" s="11" t="inlineStr">
        <is>
          <t>Valeur</t>
        </is>
      </c>
      <c r="C45" s="11" t="inlineStr">
        <is>
          <t>% du Total</t>
        </is>
      </c>
    </row>
    <row r="46">
      <c r="A46" s="3" t="inlineStr">
        <is>
          <t>T1</t>
        </is>
      </c>
      <c r="B46" s="3" t="n">
        <v>1287040</v>
      </c>
      <c r="C46" s="3" t="n">
        <v>21.59</v>
      </c>
    </row>
    <row r="47">
      <c r="A47" s="3" t="inlineStr">
        <is>
          <t>T2</t>
        </is>
      </c>
      <c r="B47" s="3" t="n">
        <v>1355402</v>
      </c>
      <c r="C47" s="3" t="n">
        <v>22.74</v>
      </c>
    </row>
    <row r="48">
      <c r="A48" s="3" t="inlineStr">
        <is>
          <t>T3</t>
        </is>
      </c>
      <c r="B48" s="3" t="n">
        <v>873262</v>
      </c>
      <c r="C48" s="3" t="n">
        <v>14.65</v>
      </c>
    </row>
    <row r="49">
      <c r="A49" s="3" t="inlineStr">
        <is>
          <t>T4</t>
        </is>
      </c>
      <c r="B49" s="3" t="n">
        <v>2445387</v>
      </c>
      <c r="C49" s="3" t="n">
        <v>41.02</v>
      </c>
    </row>
    <row r="52">
      <c r="A52" s="15" t="inlineStr">
        <is>
          <t>Analyse par Sexe</t>
        </is>
      </c>
    </row>
    <row r="53">
      <c r="A53" s="11" t="inlineStr">
        <is>
          <t>Sexe</t>
        </is>
      </c>
      <c r="B53" s="11" t="inlineStr">
        <is>
          <t>Valeur</t>
        </is>
      </c>
      <c r="C53" s="11" t="inlineStr">
        <is>
          <t>% du Total</t>
        </is>
      </c>
    </row>
    <row r="54">
      <c r="A54" s="3" t="inlineStr">
        <is>
          <t>Féminin</t>
        </is>
      </c>
      <c r="B54" s="3" t="n">
        <v>3764091</v>
      </c>
      <c r="C54" s="3" t="n">
        <v>63.14</v>
      </c>
    </row>
    <row r="55">
      <c r="A55" s="3" t="inlineStr">
        <is>
          <t>Masculin</t>
        </is>
      </c>
      <c r="B55" s="3" t="n">
        <v>2197000</v>
      </c>
      <c r="C55" s="3" t="n">
        <v>36.86</v>
      </c>
    </row>
    <row r="58">
      <c r="A58" s="15" t="inlineStr">
        <is>
          <t>Analyse par Tranche d'Âge</t>
        </is>
      </c>
    </row>
    <row r="59">
      <c r="A59" s="11" t="inlineStr">
        <is>
          <t>Tranche d'Âge</t>
        </is>
      </c>
      <c r="B59" s="11" t="inlineStr">
        <is>
          <t>Valeur</t>
        </is>
      </c>
      <c r="C59" s="11" t="inlineStr">
        <is>
          <t>% du Total</t>
        </is>
      </c>
    </row>
    <row r="60">
      <c r="A60" s="3" t="inlineStr">
        <is>
          <t>10 à 14 ans</t>
        </is>
      </c>
      <c r="B60" s="3" t="n">
        <v>1594</v>
      </c>
      <c r="C60" s="3" t="n">
        <v>0.03</v>
      </c>
    </row>
    <row r="61">
      <c r="A61" s="3" t="inlineStr">
        <is>
          <t>15 à 19 ans</t>
        </is>
      </c>
      <c r="B61" s="3" t="n">
        <v>93942</v>
      </c>
      <c r="C61" s="3" t="n">
        <v>1.58</v>
      </c>
    </row>
    <row r="62">
      <c r="A62" s="3" t="inlineStr">
        <is>
          <t>20 à 24 ans</t>
        </is>
      </c>
      <c r="B62" s="3" t="n">
        <v>326633</v>
      </c>
      <c r="C62" s="3" t="n">
        <v>5.48</v>
      </c>
    </row>
    <row r="63">
      <c r="A63" s="3" t="inlineStr">
        <is>
          <t>25 à 49 ans</t>
        </is>
      </c>
      <c r="B63" s="3" t="n">
        <v>246617</v>
      </c>
      <c r="C63" s="3" t="n">
        <v>4.14</v>
      </c>
    </row>
    <row r="64">
      <c r="A64" s="3" t="inlineStr">
        <is>
          <t>&lt; 10 ans</t>
        </is>
      </c>
      <c r="B64" s="3" t="n">
        <v>366</v>
      </c>
      <c r="C64" s="3" t="n">
        <v>0.01</v>
      </c>
    </row>
    <row r="65">
      <c r="A65" s="3" t="inlineStr">
        <is>
          <t>&lt; 15 ans</t>
        </is>
      </c>
      <c r="B65" s="3" t="n">
        <v>50844</v>
      </c>
      <c r="C65" s="3" t="n">
        <v>0.85</v>
      </c>
    </row>
    <row r="66">
      <c r="A66" s="3" t="inlineStr">
        <is>
          <t>&gt;= 15 ans</t>
        </is>
      </c>
      <c r="B66" s="3" t="n">
        <v>4848732</v>
      </c>
      <c r="C66" s="3" t="n">
        <v>81.34</v>
      </c>
    </row>
    <row r="67">
      <c r="A67" s="3" t="inlineStr">
        <is>
          <t>&gt;= 50 ans</t>
        </is>
      </c>
      <c r="B67" s="3" t="n">
        <v>392363</v>
      </c>
      <c r="C67" s="3" t="n">
        <v>6.58</v>
      </c>
    </row>
    <row r="70">
      <c r="A70" s="15" t="inlineStr">
        <is>
          <t>Tableau Croisé: Province × Année</t>
        </is>
      </c>
    </row>
    <row r="71">
      <c r="A71" s="11" t="inlineStr">
        <is>
          <t>provinces</t>
        </is>
      </c>
      <c r="B71" s="11" t="inlineStr">
        <is>
          <t>2020</t>
        </is>
      </c>
      <c r="C71" s="11" t="inlineStr">
        <is>
          <t>2021</t>
        </is>
      </c>
      <c r="D71" s="11" t="inlineStr">
        <is>
          <t>2022</t>
        </is>
      </c>
      <c r="E71" s="11" t="inlineStr">
        <is>
          <t>2023</t>
        </is>
      </c>
      <c r="F71" s="11" t="inlineStr">
        <is>
          <t>2024</t>
        </is>
      </c>
      <c r="G71" s="11" t="inlineStr">
        <is>
          <t>TOTAL</t>
        </is>
      </c>
    </row>
    <row r="72">
      <c r="A72" s="3" t="inlineStr">
        <is>
          <t>Haut-Katanga</t>
        </is>
      </c>
      <c r="B72" s="3" t="n">
        <v>771593</v>
      </c>
      <c r="C72" s="3" t="n">
        <v>185129</v>
      </c>
      <c r="D72" s="3" t="n">
        <v>147249</v>
      </c>
      <c r="E72" s="3" t="n">
        <v>19259</v>
      </c>
      <c r="F72" s="3" t="n">
        <v>108909</v>
      </c>
      <c r="G72" s="3" t="n">
        <v>1232139</v>
      </c>
    </row>
    <row r="73">
      <c r="A73" s="3" t="inlineStr">
        <is>
          <t>Kasaï-Central</t>
        </is>
      </c>
      <c r="B73" s="3" t="n">
        <v>801148</v>
      </c>
      <c r="C73" s="3" t="n">
        <v>19181</v>
      </c>
      <c r="D73" s="3" t="n">
        <v>0</v>
      </c>
      <c r="E73" s="3" t="n">
        <v>14596</v>
      </c>
      <c r="F73" s="3" t="n">
        <v>8111</v>
      </c>
      <c r="G73" s="3" t="n">
        <v>843036</v>
      </c>
    </row>
    <row r="74">
      <c r="A74" s="3" t="inlineStr">
        <is>
          <t>Kasaï-Oriental</t>
        </is>
      </c>
      <c r="B74" s="3" t="n">
        <v>142562</v>
      </c>
      <c r="C74" s="3" t="n">
        <v>215158</v>
      </c>
      <c r="D74" s="3" t="n">
        <v>147345</v>
      </c>
      <c r="E74" s="3" t="n">
        <v>100577</v>
      </c>
      <c r="F74" s="3" t="n">
        <v>45154</v>
      </c>
      <c r="G74" s="3" t="n">
        <v>650796</v>
      </c>
    </row>
    <row r="75">
      <c r="A75" s="3" t="inlineStr">
        <is>
          <t>Kinshasa</t>
        </is>
      </c>
      <c r="B75" s="3" t="n">
        <v>81911</v>
      </c>
      <c r="C75" s="3" t="n">
        <v>0</v>
      </c>
      <c r="D75" s="3" t="n">
        <v>416575</v>
      </c>
      <c r="E75" s="3" t="n">
        <v>73626</v>
      </c>
      <c r="F75" s="3" t="n">
        <v>0</v>
      </c>
      <c r="G75" s="3" t="n">
        <v>572112</v>
      </c>
    </row>
    <row r="76">
      <c r="A76" s="3" t="inlineStr">
        <is>
          <t>Sud Kivu</t>
        </is>
      </c>
      <c r="B76" s="3" t="n">
        <v>59750</v>
      </c>
      <c r="C76" s="3" t="n">
        <v>38986</v>
      </c>
      <c r="D76" s="3" t="n">
        <v>156328</v>
      </c>
      <c r="E76" s="3" t="n">
        <v>122309</v>
      </c>
      <c r="F76" s="3" t="n">
        <v>31818</v>
      </c>
      <c r="G76" s="3" t="n">
        <v>409191</v>
      </c>
    </row>
    <row r="77">
      <c r="A77" s="3" t="inlineStr">
        <is>
          <t>Bas-Uele</t>
        </is>
      </c>
      <c r="B77" s="3" t="n">
        <v>0</v>
      </c>
      <c r="C77" s="3" t="n">
        <v>343184</v>
      </c>
      <c r="D77" s="3" t="n">
        <v>2395</v>
      </c>
      <c r="E77" s="3" t="n">
        <v>231</v>
      </c>
      <c r="F77" s="3" t="n">
        <v>9</v>
      </c>
      <c r="G77" s="3" t="n">
        <v>345819</v>
      </c>
    </row>
    <row r="78">
      <c r="A78" s="3" t="inlineStr">
        <is>
          <t>Lualaba</t>
        </is>
      </c>
      <c r="B78" s="3" t="n">
        <v>38533</v>
      </c>
      <c r="C78" s="3" t="n">
        <v>236068</v>
      </c>
      <c r="D78" s="3" t="n">
        <v>0</v>
      </c>
      <c r="E78" s="3" t="n">
        <v>1270</v>
      </c>
      <c r="F78" s="3" t="n">
        <v>65714</v>
      </c>
      <c r="G78" s="3" t="n">
        <v>341585</v>
      </c>
    </row>
    <row r="79">
      <c r="A79" s="3" t="inlineStr">
        <is>
          <t>Lomami</t>
        </is>
      </c>
      <c r="B79" s="3" t="n">
        <v>25784</v>
      </c>
      <c r="C79" s="3" t="n">
        <v>255836</v>
      </c>
      <c r="D79" s="3" t="n">
        <v>21013</v>
      </c>
      <c r="E79" s="3" t="n">
        <v>26939</v>
      </c>
      <c r="F79" s="3" t="n">
        <v>8795</v>
      </c>
      <c r="G79" s="3" t="n">
        <v>338367</v>
      </c>
    </row>
    <row r="80">
      <c r="A80" s="3" t="inlineStr">
        <is>
          <t>Nord-Kivu</t>
        </is>
      </c>
      <c r="B80" s="3" t="n">
        <v>43750</v>
      </c>
      <c r="C80" s="3" t="n">
        <v>14082</v>
      </c>
      <c r="D80" s="3" t="n">
        <v>89710</v>
      </c>
      <c r="E80" s="3" t="n">
        <v>27385</v>
      </c>
      <c r="F80" s="3" t="n">
        <v>0</v>
      </c>
      <c r="G80" s="3" t="n">
        <v>174927</v>
      </c>
    </row>
    <row r="81">
      <c r="A81" s="3" t="inlineStr">
        <is>
          <t>Haut-Lomami</t>
        </is>
      </c>
      <c r="B81" s="3" t="n">
        <v>31382</v>
      </c>
      <c r="C81" s="3" t="n">
        <v>50021</v>
      </c>
      <c r="D81" s="3" t="n">
        <v>27180</v>
      </c>
      <c r="E81" s="3" t="n">
        <v>7765</v>
      </c>
      <c r="F81" s="3" t="n">
        <v>49104</v>
      </c>
      <c r="G81" s="3" t="n">
        <v>165452</v>
      </c>
    </row>
    <row r="82">
      <c r="A82" s="3" t="inlineStr">
        <is>
          <t>Tanganyika</t>
        </is>
      </c>
      <c r="B82" s="3" t="n">
        <v>30594</v>
      </c>
      <c r="C82" s="3" t="n">
        <v>18867</v>
      </c>
      <c r="D82" s="3" t="n">
        <v>86848</v>
      </c>
      <c r="E82" s="3" t="n">
        <v>6818</v>
      </c>
      <c r="F82" s="3" t="n">
        <v>3716</v>
      </c>
      <c r="G82" s="3" t="n">
        <v>146843</v>
      </c>
    </row>
    <row r="83">
      <c r="A83" s="3" t="inlineStr">
        <is>
          <t>Nord-Ubangi</t>
        </is>
      </c>
      <c r="B83" s="3" t="n">
        <v>2722</v>
      </c>
      <c r="C83" s="3" t="n">
        <v>27500</v>
      </c>
      <c r="D83" s="3" t="n">
        <v>89532</v>
      </c>
      <c r="E83" s="3" t="n">
        <v>298</v>
      </c>
      <c r="F83" s="3" t="n">
        <v>1677</v>
      </c>
      <c r="G83" s="3" t="n">
        <v>121729</v>
      </c>
    </row>
    <row r="84">
      <c r="A84" s="3" t="inlineStr">
        <is>
          <t>Kasaï</t>
        </is>
      </c>
      <c r="B84" s="3" t="n">
        <v>34861</v>
      </c>
      <c r="C84" s="3" t="n">
        <v>6086</v>
      </c>
      <c r="D84" s="3" t="n">
        <v>9699</v>
      </c>
      <c r="E84" s="3" t="n">
        <v>20791</v>
      </c>
      <c r="F84" s="3" t="n">
        <v>12226</v>
      </c>
      <c r="G84" s="3" t="n">
        <v>83663</v>
      </c>
    </row>
    <row r="85">
      <c r="A85" s="3" t="inlineStr">
        <is>
          <t>Sankuru</t>
        </is>
      </c>
      <c r="B85" s="3" t="n">
        <v>19980</v>
      </c>
      <c r="C85" s="3" t="n">
        <v>10631</v>
      </c>
      <c r="D85" s="3" t="n">
        <v>17805</v>
      </c>
      <c r="E85" s="3" t="n">
        <v>17722</v>
      </c>
      <c r="F85" s="3" t="n">
        <v>9515</v>
      </c>
      <c r="G85" s="3" t="n">
        <v>75653</v>
      </c>
    </row>
    <row r="86">
      <c r="A86" s="3" t="inlineStr">
        <is>
          <t>Tshuapa</t>
        </is>
      </c>
      <c r="B86" s="3" t="n">
        <v>32035</v>
      </c>
      <c r="C86" s="3" t="n">
        <v>39628</v>
      </c>
      <c r="D86" s="3" t="n">
        <v>2134</v>
      </c>
      <c r="E86" s="3" t="n">
        <v>0</v>
      </c>
      <c r="F86" s="3" t="n">
        <v>1810</v>
      </c>
      <c r="G86" s="3" t="n">
        <v>75607</v>
      </c>
    </row>
    <row r="87">
      <c r="A87" s="3" t="inlineStr">
        <is>
          <t>Mai-Ndombe</t>
        </is>
      </c>
      <c r="B87" s="3" t="n">
        <v>58467</v>
      </c>
      <c r="C87" s="3" t="n">
        <v>10046</v>
      </c>
      <c r="D87" s="3" t="n">
        <v>781</v>
      </c>
      <c r="E87" s="3" t="n">
        <v>115</v>
      </c>
      <c r="F87" s="3" t="n">
        <v>2119</v>
      </c>
      <c r="G87" s="3" t="n">
        <v>71528</v>
      </c>
    </row>
    <row r="88">
      <c r="A88" s="3" t="inlineStr">
        <is>
          <t>Ituri</t>
        </is>
      </c>
      <c r="B88" s="3" t="n">
        <v>15589</v>
      </c>
      <c r="C88" s="3" t="n">
        <v>10813</v>
      </c>
      <c r="D88" s="3" t="n">
        <v>10727</v>
      </c>
      <c r="E88" s="3" t="n">
        <v>6860</v>
      </c>
      <c r="F88" s="3" t="n">
        <v>26655</v>
      </c>
      <c r="G88" s="3" t="n">
        <v>70644</v>
      </c>
    </row>
    <row r="89">
      <c r="A89" s="3" t="inlineStr">
        <is>
          <t>Tshopo</t>
        </is>
      </c>
      <c r="B89" s="3" t="n">
        <v>23528</v>
      </c>
      <c r="C89" s="3" t="n">
        <v>0</v>
      </c>
      <c r="D89" s="3" t="n">
        <v>0</v>
      </c>
      <c r="E89" s="3" t="n">
        <v>8063</v>
      </c>
      <c r="F89" s="3" t="n">
        <v>37134</v>
      </c>
      <c r="G89" s="3" t="n">
        <v>68725</v>
      </c>
    </row>
    <row r="90">
      <c r="A90" s="3" t="inlineStr">
        <is>
          <t>Maniema</t>
        </is>
      </c>
      <c r="B90" s="3" t="n">
        <v>20517</v>
      </c>
      <c r="C90" s="3" t="n">
        <v>18378</v>
      </c>
      <c r="D90" s="3" t="n">
        <v>2951</v>
      </c>
      <c r="E90" s="3" t="n">
        <v>810</v>
      </c>
      <c r="F90" s="3" t="n">
        <v>1806</v>
      </c>
      <c r="G90" s="3" t="n">
        <v>44462</v>
      </c>
    </row>
    <row r="91">
      <c r="A91" s="3" t="inlineStr">
        <is>
          <t>Kongo-Central</t>
        </is>
      </c>
      <c r="B91" s="3" t="n">
        <v>13422</v>
      </c>
      <c r="C91" s="3" t="n">
        <v>2564</v>
      </c>
      <c r="D91" s="3" t="n">
        <v>9369</v>
      </c>
      <c r="E91" s="3" t="n">
        <v>3175</v>
      </c>
      <c r="F91" s="3" t="n">
        <v>12969</v>
      </c>
      <c r="G91" s="3" t="n">
        <v>41499</v>
      </c>
    </row>
    <row r="92">
      <c r="A92" s="3" t="inlineStr">
        <is>
          <t>Kwilu</t>
        </is>
      </c>
      <c r="B92" s="3" t="n">
        <v>5521</v>
      </c>
      <c r="C92" s="3" t="n">
        <v>26</v>
      </c>
      <c r="D92" s="3" t="n">
        <v>4604</v>
      </c>
      <c r="E92" s="3" t="n">
        <v>3834</v>
      </c>
      <c r="F92" s="3" t="n">
        <v>24835</v>
      </c>
      <c r="G92" s="3" t="n">
        <v>38820</v>
      </c>
    </row>
    <row r="93">
      <c r="A93" s="3" t="inlineStr">
        <is>
          <t>Haut-Uele</t>
        </is>
      </c>
      <c r="B93" s="3" t="n">
        <v>9720</v>
      </c>
      <c r="C93" s="3" t="n">
        <v>1379</v>
      </c>
      <c r="D93" s="3" t="n">
        <v>1491</v>
      </c>
      <c r="E93" s="3" t="n">
        <v>4737</v>
      </c>
      <c r="F93" s="3" t="n">
        <v>54</v>
      </c>
      <c r="G93" s="3" t="n">
        <v>17381</v>
      </c>
    </row>
    <row r="94">
      <c r="A94" s="3" t="inlineStr">
        <is>
          <t>Kwango</t>
        </is>
      </c>
      <c r="B94" s="3" t="n">
        <v>6137</v>
      </c>
      <c r="C94" s="3" t="n">
        <v>679</v>
      </c>
      <c r="D94" s="3" t="n">
        <v>3338</v>
      </c>
      <c r="E94" s="3" t="n">
        <v>221</v>
      </c>
      <c r="F94" s="3" t="n">
        <v>3254</v>
      </c>
      <c r="G94" s="3" t="n">
        <v>13629</v>
      </c>
    </row>
    <row r="95">
      <c r="A95" s="3" t="inlineStr">
        <is>
          <t>Mongala</t>
        </is>
      </c>
      <c r="B95" s="3" t="n">
        <v>384</v>
      </c>
      <c r="C95" s="3" t="n">
        <v>383</v>
      </c>
      <c r="D95" s="3" t="n">
        <v>5026</v>
      </c>
      <c r="E95" s="3" t="n">
        <v>2342</v>
      </c>
      <c r="F95" s="3" t="n">
        <v>358</v>
      </c>
      <c r="G95" s="3" t="n">
        <v>8493</v>
      </c>
    </row>
    <row r="96">
      <c r="A96" s="3" t="inlineStr">
        <is>
          <t>Équateur</t>
        </is>
      </c>
      <c r="B96" s="3" t="n">
        <v>1539</v>
      </c>
      <c r="C96" s="3" t="n">
        <v>2399</v>
      </c>
      <c r="D96" s="3" t="n">
        <v>0</v>
      </c>
      <c r="E96" s="3" t="n">
        <v>2954</v>
      </c>
      <c r="F96" s="3" t="n">
        <v>1399</v>
      </c>
      <c r="G96" s="3" t="n">
        <v>8291</v>
      </c>
    </row>
    <row r="97">
      <c r="A97" s="3" t="inlineStr">
        <is>
          <t>Sud-Ubangi</t>
        </is>
      </c>
      <c r="B97" s="3" t="n">
        <v>516</v>
      </c>
      <c r="C97" s="3" t="n">
        <v>0</v>
      </c>
      <c r="D97" s="3" t="n">
        <v>0</v>
      </c>
      <c r="E97" s="3" t="n">
        <v>171</v>
      </c>
      <c r="F97" s="3" t="n">
        <v>13</v>
      </c>
      <c r="G97" s="3" t="n">
        <v>700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5" customWidth="1" min="3" max="3"/>
    <col width="45" customWidth="1" min="4" max="4"/>
  </cols>
  <sheetData>
    <row r="1">
      <c r="A1" s="1" t="inlineStr">
        <is>
          <t>FORMULES EXCEL POUR ANALYSE DYNAMIQUE</t>
        </is>
      </c>
    </row>
    <row r="3">
      <c r="A3" s="16" t="inlineStr">
        <is>
          <t>Ces formules peuvent être utilisées avec le dropdown pour filtrer les données:</t>
        </is>
      </c>
    </row>
    <row r="5">
      <c r="A5" s="10" t="inlineStr">
        <is>
          <t>Fonction</t>
        </is>
      </c>
      <c r="B5" s="10" t="inlineStr">
        <is>
          <t>Syntaxe</t>
        </is>
      </c>
      <c r="C5" s="10" t="inlineStr">
        <is>
          <t>Description</t>
        </is>
      </c>
      <c r="D5" s="10" t="inlineStr">
        <is>
          <t>Exemple</t>
        </is>
      </c>
    </row>
    <row r="6">
      <c r="A6" s="3" t="inlineStr">
        <is>
          <t>SUMIF</t>
        </is>
      </c>
      <c r="B6" s="3">
        <f>SUMIF(plage_critère, critère, plage_somme)</f>
        <v/>
      </c>
      <c r="C6" s="3" t="inlineStr">
        <is>
          <t>Somme conditionnelle</t>
        </is>
      </c>
      <c r="D6" s="3">
        <f>SUMIF(indicateurs,B4,Valeur)</f>
        <v/>
      </c>
    </row>
    <row r="7">
      <c r="A7" s="3" t="inlineStr">
        <is>
          <t>COUNTIF</t>
        </is>
      </c>
      <c r="B7" s="3">
        <f>COUNTIF(plage, critère)</f>
        <v/>
      </c>
      <c r="C7" s="3" t="inlineStr">
        <is>
          <t>Comptage conditionnel</t>
        </is>
      </c>
      <c r="D7" s="3">
        <f>COUNTIF(indicateurs,B4)</f>
        <v/>
      </c>
    </row>
    <row r="8">
      <c r="A8" s="3" t="inlineStr">
        <is>
          <t>AVERAGEIF</t>
        </is>
      </c>
      <c r="B8" s="3">
        <f>AVERAGEIF(plage_critère, critère, plage_moyenne)</f>
        <v/>
      </c>
      <c r="C8" s="3" t="inlineStr">
        <is>
          <t>Moyenne conditionnelle</t>
        </is>
      </c>
      <c r="D8" s="3">
        <f>AVERAGEIF(indicateurs,B4,Valeur)</f>
        <v/>
      </c>
    </row>
    <row r="9">
      <c r="A9" s="3" t="inlineStr">
        <is>
          <t>SUMIFS</t>
        </is>
      </c>
      <c r="B9" s="3">
        <f>SUMIFS(somme, plage1, crit1, plage2, crit2)</f>
        <v/>
      </c>
      <c r="C9" s="3" t="inlineStr">
        <is>
          <t>Somme multi-critères</t>
        </is>
      </c>
      <c r="D9" s="3">
        <f>SUMIFS(Valeur,indicateurs,B4,annees,2024)</f>
        <v/>
      </c>
    </row>
    <row r="10">
      <c r="A10" s="3" t="inlineStr">
        <is>
          <t>FILTER</t>
        </is>
      </c>
      <c r="B10" s="3">
        <f>FILTER(données, condition)</f>
        <v/>
      </c>
      <c r="C10" s="3" t="inlineStr">
        <is>
          <t>Filtrage dynamique (Excel 365)</t>
        </is>
      </c>
      <c r="D10" s="3">
        <f>FILTER(A:H,C:C=B4)</f>
        <v/>
      </c>
    </row>
    <row r="11">
      <c r="A11" s="3" t="inlineStr">
        <is>
          <t>UNIQUE</t>
        </is>
      </c>
      <c r="B11" s="3">
        <f>UNIQUE(plage)</f>
        <v/>
      </c>
      <c r="C11" s="3" t="inlineStr">
        <is>
          <t>Valeurs uniques</t>
        </is>
      </c>
      <c r="D11" s="3">
        <f>UNIQUE(provinces)</f>
        <v/>
      </c>
    </row>
    <row r="12">
      <c r="A12" s="3" t="inlineStr">
        <is>
          <t>SORT</t>
        </is>
      </c>
      <c r="B12" s="3">
        <f>SORT(plage, col, ordre)</f>
        <v/>
      </c>
      <c r="C12" s="3" t="inlineStr">
        <is>
          <t>Tri dynamique</t>
        </is>
      </c>
      <c r="D12" s="3">
        <f>SORT(FILTER(...),2,-1)</f>
        <v/>
      </c>
    </row>
    <row r="13">
      <c r="A13" s="3" t="inlineStr">
        <is>
          <t>XLOOKUP</t>
        </is>
      </c>
      <c r="B13" s="3">
        <f>XLOOKUP(valeur, recherche, retour)</f>
        <v/>
      </c>
      <c r="C13" s="3" t="inlineStr">
        <is>
          <t>Recherche moderne</t>
        </is>
      </c>
      <c r="D13" s="3">
        <f>XLOOKUP(B4,indicateurs,Valeur)</f>
        <v/>
      </c>
    </row>
  </sheetData>
  <mergeCells count="2">
    <mergeCell ref="A1:D1"/>
    <mergeCell ref="A3:D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2026-02-11T14:08:58Z</dcterms:created>
  <dcterms:modified xsi:type="dcterms:W3CDTF">2026-02-11T14:09:00Z</dcterms:modified>
</cp:coreProperties>
</file>